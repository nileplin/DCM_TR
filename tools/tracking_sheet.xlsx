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Budget Planning" sheetId="2" r:id="rId6"/>
    <sheet state="visible" name="Rates" sheetId="3" r:id="rId7"/>
    <sheet state="visible" name="Project Plan" sheetId="4" r:id="rId8"/>
    <sheet state="visible" name="Translation" sheetId="5" r:id="rId9"/>
    <sheet state="visible" name="LQA" sheetId="6" r:id="rId10"/>
    <sheet state="visible" name="Testing" sheetId="7" r:id="rId11"/>
    <sheet state="visible" name="Language Analysts" sheetId="8" r:id="rId12"/>
    <sheet state="visible" name="Eng &amp; Testing" sheetId="9" r:id="rId13"/>
    <sheet state="visible" name="Terminologists" sheetId="10" r:id="rId14"/>
    <sheet state="visible" name="Project Management" sheetId="11" r:id="rId15"/>
  </sheets>
  <definedNames>
    <definedName name="RATE_REVIEW">Rates!$B$9</definedName>
    <definedName name="RATE_POSTEDIT">Rates!$B$10</definedName>
    <definedName name="RATE_TRANSLATION">Rates!$B$8</definedName>
    <definedName name="RATE_HOURLY">Rates!$B$4</definedName>
  </definedNames>
  <calcPr/>
</workbook>
</file>

<file path=xl/sharedStrings.xml><?xml version="1.0" encoding="utf-8"?>
<sst xmlns="http://schemas.openxmlformats.org/spreadsheetml/2006/main" count="323" uniqueCount="204">
  <si>
    <t>Budget &amp; Hours Summary</t>
  </si>
  <si>
    <t>#</t>
  </si>
  <si>
    <t>Name</t>
  </si>
  <si>
    <t>Role</t>
  </si>
  <si>
    <t>Department</t>
  </si>
  <si>
    <t>Hourly Hrs</t>
  </si>
  <si>
    <t>Hourly Cost (br)</t>
  </si>
  <si>
    <t>Word Count</t>
  </si>
  <si>
    <t>Translation Cost (br)</t>
  </si>
  <si>
    <t>LQA Cost (br)</t>
  </si>
  <si>
    <t>Total Cost (br)</t>
  </si>
  <si>
    <t xml:space="preserve">  TERMINOLOGISTS</t>
  </si>
  <si>
    <t>Team Member 1</t>
  </si>
  <si>
    <t>Terminologist - Lead</t>
  </si>
  <si>
    <t>Terminologists</t>
  </si>
  <si>
    <t>Team Member 2</t>
  </si>
  <si>
    <t>Terminologist</t>
  </si>
  <si>
    <t xml:space="preserve">  Terminologists — Subtotal</t>
  </si>
  <si>
    <t xml:space="preserve">  LANGUAGE ANALYSTS</t>
  </si>
  <si>
    <t>Team Member 3</t>
  </si>
  <si>
    <t>Language Analyst - Lead</t>
  </si>
  <si>
    <t>Language Analysts</t>
  </si>
  <si>
    <t>Team Member 4</t>
  </si>
  <si>
    <t>Language Analyst</t>
  </si>
  <si>
    <t xml:space="preserve">  Language Analysts — Subtotal</t>
  </si>
  <si>
    <t xml:space="preserve">  ENG &amp; TESTING</t>
  </si>
  <si>
    <t>Team Member 5</t>
  </si>
  <si>
    <t>Engineer &amp; Tester - Lead</t>
  </si>
  <si>
    <t>Eng &amp; Testing</t>
  </si>
  <si>
    <t>Team Member 6</t>
  </si>
  <si>
    <t>Engineer &amp; Tester</t>
  </si>
  <si>
    <t xml:space="preserve">  Eng &amp; Testing — Subtotal</t>
  </si>
  <si>
    <t xml:space="preserve">  PROJECT MANAGEMENT</t>
  </si>
  <si>
    <t>Team Member 7</t>
  </si>
  <si>
    <t>Project Manager - Lead</t>
  </si>
  <si>
    <t>Project Management</t>
  </si>
  <si>
    <t>Team Member 8</t>
  </si>
  <si>
    <t>Project Manager</t>
  </si>
  <si>
    <t xml:space="preserve">  Project Management — Subtotal</t>
  </si>
  <si>
    <t xml:space="preserve">  GRAND TOTAL</t>
  </si>
  <si>
    <t>BUDGET</t>
  </si>
  <si>
    <t>REMAINING</t>
  </si>
  <si>
    <t>DPT</t>
  </si>
  <si>
    <t>Total Hours</t>
  </si>
  <si>
    <t>Total Cost</t>
  </si>
  <si>
    <t>% of Total Hrs</t>
  </si>
  <si>
    <t>% of Total Cost</t>
  </si>
  <si>
    <t>Analysts</t>
  </si>
  <si>
    <t>Hours &amp; Cost Summary</t>
  </si>
  <si>
    <t>ASSUMPTIONS — blue cells are changeable</t>
  </si>
  <si>
    <t>Budget (Br)</t>
  </si>
  <si>
    <t>Word rate – TR translation (Br/word)</t>
  </si>
  <si>
    <t>Word rate – Review (Br/word)</t>
  </si>
  <si>
    <t>Word rate – PE full (Br/word)</t>
  </si>
  <si>
    <t>Word rate – PE light (Br/word)</t>
  </si>
  <si>
    <t>Hourly rate (Br/hr)</t>
  </si>
  <si>
    <t>UI word count</t>
  </si>
  <si>
    <t>Help word count</t>
  </si>
  <si>
    <t>Total word count</t>
  </si>
  <si>
    <t>COST BREAKDOWN</t>
  </si>
  <si>
    <t>Line item</t>
  </si>
  <si>
    <t>Cost (Br)</t>
  </si>
  <si>
    <t>UI full post-editing (11,804 words × PE full rate)</t>
  </si>
  <si>
    <t>Help light post-editing (37,683 words × PE light rate)</t>
  </si>
  <si>
    <t>Review — all words (49,487 words × review rate)</t>
  </si>
  <si>
    <t>Total costs</t>
  </si>
  <si>
    <t>Remaining</t>
  </si>
  <si>
    <t>HOURLY BUDGET ALLOCATION BY TEAM</t>
  </si>
  <si>
    <t>Team</t>
  </si>
  <si>
    <t>People</t>
  </si>
  <si>
    <t>Est. hr/person</t>
  </si>
  <si>
    <t>Total hours</t>
  </si>
  <si>
    <t>Rate (Br/hr)</t>
  </si>
  <si>
    <t>Engineers</t>
  </si>
  <si>
    <t>TOTAL</t>
  </si>
  <si>
    <t>Rate Card</t>
  </si>
  <si>
    <t>HOURLY RATE  (all non-translation tasks)</t>
  </si>
  <si>
    <t>Task Type</t>
  </si>
  <si>
    <t>Rate (br/hr)</t>
  </si>
  <si>
    <t>Applies To</t>
  </si>
  <si>
    <t>All non-translation tasks</t>
  </si>
  <si>
    <t>All roles (meetings, prep, QA, testing, PM…)</t>
  </si>
  <si>
    <t>WORD-BASED RATES  (translation tasks)</t>
  </si>
  <si>
    <t>Rate (br/word)</t>
  </si>
  <si>
    <t>Notes</t>
  </si>
  <si>
    <t>Translation (TR)</t>
  </si>
  <si>
    <t>Full human translation EN→TR</t>
  </si>
  <si>
    <t>Review</t>
  </si>
  <si>
    <t>Proofreading / peer review of translation</t>
  </si>
  <si>
    <t>Post-Editing (PE)</t>
  </si>
  <si>
    <t>Light or full post-editing of MT output</t>
  </si>
  <si>
    <t>ℹ️  formula use:</t>
  </si>
  <si>
    <t xml:space="preserve">  B4  →  RATE_HOURLY</t>
  </si>
  <si>
    <t xml:space="preserve">  B8  →  RATE_TRANSLATION</t>
  </si>
  <si>
    <t xml:space="preserve">  B9  →  RATE_REVIEW</t>
  </si>
  <si>
    <t xml:space="preserve">  B10  →  RATE_POSTEDIT</t>
  </si>
  <si>
    <t>WBS</t>
  </si>
  <si>
    <t>Task</t>
  </si>
  <si>
    <t>Start Date</t>
  </si>
  <si>
    <t>Due Date</t>
  </si>
  <si>
    <t>End Date</t>
  </si>
  <si>
    <t>Assignee</t>
  </si>
  <si>
    <t>Status</t>
  </si>
  <si>
    <t>1.0</t>
  </si>
  <si>
    <t>INITIATION</t>
  </si>
  <si>
    <t>1.1</t>
  </si>
  <si>
    <t>Kickoff Meeting &amp; Role Confirmation</t>
  </si>
  <si>
    <t>1.2</t>
  </si>
  <si>
    <t>Project Plan Finalisation &amp; Sign-off</t>
  </si>
  <si>
    <t>2.0</t>
  </si>
  <si>
    <t>SETUP &amp; PREPARATION</t>
  </si>
  <si>
    <t>2.1</t>
  </si>
  <si>
    <t>Phrase TMS — Project &amp; Workflow Setup</t>
  </si>
  <si>
    <t>2.4</t>
  </si>
  <si>
    <t>TM &amp; Termbase Configuration in Phrase TMS</t>
  </si>
  <si>
    <t>3.0</t>
  </si>
  <si>
    <t>LINGUISTIC PREPARATION</t>
  </si>
  <si>
    <t>3.1</t>
  </si>
  <si>
    <t>Domain Research — DoubleCMD File Manager</t>
  </si>
  <si>
    <t>3.3</t>
  </si>
  <si>
    <t>Termbase Creation &amp; Upload to Phrase TMS</t>
  </si>
  <si>
    <t>3.4</t>
  </si>
  <si>
    <t>Style Guide Drafting</t>
  </si>
  <si>
    <t>3.5</t>
  </si>
  <si>
    <t>Style Guide Review &amp; Sign-off</t>
  </si>
  <si>
    <t>4.0</t>
  </si>
  <si>
    <t>TRANSLATION</t>
  </si>
  <si>
    <t>4.1</t>
  </si>
  <si>
    <t>UI Translation — Main Software (11,804 wds)</t>
  </si>
  <si>
    <t>4.3</t>
  </si>
  <si>
    <t>Help Content Translation (37,683 wds)</t>
  </si>
  <si>
    <t>4.4</t>
  </si>
  <si>
    <t>Ongoing Terminology Query Management</t>
  </si>
  <si>
    <t>4.5</t>
  </si>
  <si>
    <t>Ongoing Style Guide Query Management</t>
  </si>
  <si>
    <t>4.6</t>
  </si>
  <si>
    <t>Translation Progress Monitoring</t>
  </si>
  <si>
    <t>5.0</t>
  </si>
  <si>
    <t>REVIEW &amp; QA</t>
  </si>
  <si>
    <t>5.1</t>
  </si>
  <si>
    <t>UI Translation Review</t>
  </si>
  <si>
    <t>5.2</t>
  </si>
  <si>
    <t>Help Content Review</t>
  </si>
  <si>
    <t>5.3</t>
  </si>
  <si>
    <t>LQA Coordination &amp; Error Arbitration</t>
  </si>
  <si>
    <t>6.0</t>
  </si>
  <si>
    <t>TESTING</t>
  </si>
  <si>
    <t>6.1</t>
  </si>
  <si>
    <t>Test Scenario Creation</t>
  </si>
  <si>
    <t>6.2</t>
  </si>
  <si>
    <t>Functional Testing on Windows Platform</t>
  </si>
  <si>
    <t>6.3</t>
  </si>
  <si>
    <t>Bug Fixing &amp; Retesting</t>
  </si>
  <si>
    <t>7.0</t>
  </si>
  <si>
    <t>DELIVERY &amp; CLOSURE</t>
  </si>
  <si>
    <t>PRE</t>
  </si>
  <si>
    <t>Presentation</t>
  </si>
  <si>
    <t>7.1</t>
  </si>
  <si>
    <t>Final QA Sign-off</t>
  </si>
  <si>
    <t>7.2</t>
  </si>
  <si>
    <t>Delivery Package Preparation</t>
  </si>
  <si>
    <t>7.3</t>
  </si>
  <si>
    <t>Project Delivery to Client</t>
  </si>
  <si>
    <t>7.4</t>
  </si>
  <si>
    <t>Translation Log  |  All 22 members</t>
  </si>
  <si>
    <t>ℹ️  Rates: Translation = 0.08 br/word  |  Review = 0.01 br/word  |  Post-Editing = 0.04 br/word  | DO NOT CHANGE COLUMN G&amp;H</t>
  </si>
  <si>
    <t>Date</t>
  </si>
  <si>
    <t>File / Segment</t>
  </si>
  <si>
    <t>Cost (br)</t>
  </si>
  <si>
    <t>Full PE (.po)</t>
  </si>
  <si>
    <t>Engineer - Lead</t>
  </si>
  <si>
    <t>Light PE (.html)</t>
  </si>
  <si>
    <t>TOTAL WORDS &amp; COST</t>
  </si>
  <si>
    <t>LQA Log  |  All 10 members</t>
  </si>
  <si>
    <t>OG Translator</t>
  </si>
  <si>
    <t>LQA Score</t>
  </si>
  <si>
    <t>Engineer</t>
  </si>
  <si>
    <t>Testing Log  |  All 12 members</t>
  </si>
  <si>
    <t>Log bugs in the Google Form | Log hours in job tab!</t>
  </si>
  <si>
    <t>Scenario No.</t>
  </si>
  <si>
    <t>Result</t>
  </si>
  <si>
    <t>Tester - Lead</t>
  </si>
  <si>
    <t>Success</t>
  </si>
  <si>
    <t>Tester</t>
  </si>
  <si>
    <t>Fail</t>
  </si>
  <si>
    <t>Work Log  |  Language Analysts</t>
  </si>
  <si>
    <t>ℹ️  Hours: enter as XhYm   | DO NOT CHANGE COST COLUMN</t>
  </si>
  <si>
    <t>Task Category</t>
  </si>
  <si>
    <t>Task Description</t>
  </si>
  <si>
    <t>Hours</t>
  </si>
  <si>
    <t>COST</t>
  </si>
  <si>
    <t>NOTES</t>
  </si>
  <si>
    <t>Meeting</t>
  </si>
  <si>
    <t>1h</t>
  </si>
  <si>
    <t>Work Log  |  Eng &amp; Testing</t>
  </si>
  <si>
    <t>ℹ️  Hours: enter as 1h30m · 45m · 2h · or decimal 1.5   |   Date: DD.MM.YYYY</t>
  </si>
  <si>
    <t>30m</t>
  </si>
  <si>
    <t>Work Log  |  Terminologists</t>
  </si>
  <si>
    <t>ℹ️  Hours: enter as XhYm | DO NOT CHANGE COST COLUMN</t>
  </si>
  <si>
    <t>Terminology Research</t>
  </si>
  <si>
    <t>1h15m</t>
  </si>
  <si>
    <t>📋  TR48A — Work Log  |  Project Management</t>
  </si>
  <si>
    <t>ℹ️  Hours: enter as 1h30m · 45m · 2h · or decimal 1.5   |   Date: DD.MM.YYYY | DO NOT CHANGE COST COLUMN</t>
  </si>
  <si>
    <t>1h30m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</si>
</sst>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.00&quot; br&quot;"/>
    <numFmt numFmtId="166" formatCode="\ dd\.mm\.yyyy"/>
    <numFmt numFmtId="167" formatCode="dd\.mm\.yy"/>
    <numFmt numFmtId="168" formatCode="dd\.mm\.yyyy"/>
  </numFmts>
  <fonts count="3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888888"/>
      <name val="Arial"/>
    </font>
    <font>
      <b/>
      <sz val="10.0"/>
      <color theme="1"/>
      <name val="Arial"/>
    </font>
    <font>
      <sz val="9.0"/>
      <color theme="1"/>
      <name val="Arial"/>
    </font>
    <font>
      <sz val="10.0"/>
      <color rgb="FF008000"/>
      <name val="Arial"/>
    </font>
    <font>
      <b/>
      <sz val="10.0"/>
      <color rgb="FF000000"/>
      <name val="Arial"/>
    </font>
    <font>
      <sz val="12.0"/>
      <color theme="1"/>
      <name val="Calibri"/>
    </font>
    <font>
      <sz val="12.0"/>
      <color rgb="FF980000"/>
      <name val="Calibri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b/>
      <sz val="11.0"/>
      <color theme="1"/>
      <name val="Arial"/>
    </font>
    <font>
      <b/>
      <sz val="13.0"/>
      <color rgb="FFFFFFFF"/>
      <name val="Arial"/>
    </font>
    <font>
      <sz val="10.0"/>
      <color rgb="FF000000"/>
      <name val="Arial"/>
    </font>
    <font>
      <b/>
      <sz val="10.0"/>
      <color rgb="FF0000FF"/>
      <name val="Arial"/>
    </font>
    <font>
      <i/>
      <sz val="9.0"/>
      <color rgb="FF555555"/>
      <name val="Arial"/>
    </font>
    <font>
      <sz val="9.0"/>
      <color rgb="FF1F3864"/>
      <name val="Courier New"/>
    </font>
    <font>
      <color theme="1"/>
      <name val="Calibri"/>
      <scheme val="minor"/>
    </font>
    <font>
      <b/>
      <sz val="12.0"/>
      <color rgb="FFFFFFFF"/>
      <name val="Arial"/>
    </font>
    <font>
      <i/>
      <sz val="9.0"/>
      <color rgb="FF1F3864"/>
      <name val="Arial"/>
    </font>
    <font>
      <sz val="11.0"/>
      <color rgb="FF000000"/>
      <name val="Arial"/>
    </font>
    <font>
      <b/>
      <sz val="11.0"/>
      <color rgb="FFFFFFFF"/>
      <name val="Calibri"/>
    </font>
    <font>
      <sz val="10.0"/>
      <color theme="1"/>
      <name val="Arial"/>
    </font>
    <font>
      <sz val="9.0"/>
      <color rgb="FFAAAAAA"/>
      <name val="Arial"/>
    </font>
    <font>
      <sz val="10.0"/>
      <color rgb="FFAAAAAA"/>
      <name val="Arial"/>
    </font>
    <font>
      <sz val="10.0"/>
      <color theme="1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7B2D8B"/>
        <bgColor rgb="FF7B2D8B"/>
      </patternFill>
    </fill>
    <fill>
      <patternFill patternType="solid">
        <fgColor rgb="FFFFFFFF"/>
        <bgColor rgb="FFFFFFFF"/>
      </patternFill>
    </fill>
    <fill>
      <patternFill patternType="solid">
        <fgColor rgb="FFF0E6F6"/>
        <bgColor rgb="FFF0E6F6"/>
      </patternFill>
    </fill>
    <fill>
      <patternFill patternType="solid">
        <fgColor rgb="FF2E74B5"/>
        <bgColor rgb="FF2E74B5"/>
      </patternFill>
    </fill>
    <fill>
      <patternFill patternType="solid">
        <fgColor rgb="FFD6E4F0"/>
        <bgColor rgb="FFD6E4F0"/>
      </patternFill>
    </fill>
    <fill>
      <patternFill patternType="solid">
        <fgColor rgb="FFD6EAF8"/>
        <bgColor rgb="FFD6EAF8"/>
      </patternFill>
    </fill>
    <fill>
      <patternFill patternType="solid">
        <fgColor rgb="FF0E6655"/>
        <bgColor rgb="FF0E6655"/>
      </patternFill>
    </fill>
    <fill>
      <patternFill patternType="solid">
        <fgColor rgb="FFD5F5E3"/>
        <bgColor rgb="FFD5F5E3"/>
      </patternFill>
    </fill>
    <fill>
      <patternFill patternType="solid">
        <fgColor rgb="FFF39C12"/>
        <bgColor rgb="FFF39C12"/>
      </patternFill>
    </fill>
    <fill>
      <patternFill patternType="solid">
        <fgColor rgb="FFFEF9E7"/>
        <bgColor rgb="FFFEF9E7"/>
      </patternFill>
    </fill>
    <fill>
      <patternFill patternType="solid">
        <fgColor rgb="FFE54895"/>
        <bgColor rgb="FFE54895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2C2C2A"/>
        <bgColor rgb="FF2C2C2A"/>
      </patternFill>
    </fill>
    <fill>
      <patternFill patternType="solid">
        <fgColor rgb="FFF1EFE8"/>
        <bgColor rgb="FFF1EFE8"/>
      </patternFill>
    </fill>
    <fill>
      <patternFill patternType="solid">
        <fgColor rgb="FFE6F1FB"/>
        <bgColor rgb="FFE6F1FB"/>
      </patternFill>
    </fill>
    <fill>
      <patternFill patternType="solid">
        <fgColor rgb="FF1D9E75"/>
        <bgColor rgb="FF1D9E75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EBF5FB"/>
        <bgColor rgb="FFEBF5FB"/>
      </patternFill>
    </fill>
    <fill>
      <patternFill patternType="solid">
        <fgColor rgb="FF1F4E79"/>
        <bgColor rgb="FF1F4E79"/>
      </patternFill>
    </fill>
    <fill>
      <patternFill patternType="solid">
        <fgColor rgb="FF2E4057"/>
        <bgColor rgb="FF2E4057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1ABC9C"/>
        <bgColor rgb="FF1ABC9C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left/>
      <right/>
      <top style="thin">
        <color rgb="FFB7B7B7"/>
      </top>
      <bottom style="thin">
        <color rgb="FFB7B7B7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5" fillId="2" fontId="4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left" shrinkToFit="0" vertical="center" wrapText="0"/>
    </xf>
    <xf borderId="7" fillId="0" fontId="2" numFmtId="0" xfId="0" applyBorder="1" applyFont="1"/>
    <xf borderId="8" fillId="0" fontId="2" numFmtId="0" xfId="0" applyBorder="1" applyFont="1"/>
    <xf borderId="5" fillId="4" fontId="6" numFmtId="0" xfId="0" applyAlignment="1" applyBorder="1" applyFill="1" applyFont="1">
      <alignment horizontal="center" shrinkToFit="0" vertical="center" wrapText="0"/>
    </xf>
    <xf borderId="5" fillId="4" fontId="7" numFmtId="0" xfId="0" applyAlignment="1" applyBorder="1" applyFont="1">
      <alignment readingOrder="0" shrinkToFit="0" vertical="center" wrapText="0"/>
    </xf>
    <xf borderId="5" fillId="4" fontId="8" numFmtId="0" xfId="0" applyAlignment="1" applyBorder="1" applyFont="1">
      <alignment shrinkToFit="0" vertical="center" wrapText="0"/>
    </xf>
    <xf borderId="5" fillId="4" fontId="9" numFmtId="4" xfId="0" applyAlignment="1" applyBorder="1" applyFont="1" applyNumberFormat="1">
      <alignment horizontal="center" shrinkToFit="0" vertical="center" wrapText="0"/>
    </xf>
    <xf borderId="5" fillId="4" fontId="9" numFmtId="3" xfId="0" applyAlignment="1" applyBorder="1" applyFont="1" applyNumberFormat="1">
      <alignment horizontal="center" shrinkToFit="0" vertical="center" wrapText="0"/>
    </xf>
    <xf borderId="5" fillId="4" fontId="10" numFmtId="4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ill="1" applyFont="1">
      <alignment horizontal="center" shrinkToFit="0" vertical="center" wrapText="0"/>
    </xf>
    <xf borderId="5" fillId="5" fontId="7" numFmtId="0" xfId="0" applyAlignment="1" applyBorder="1" applyFont="1">
      <alignment readingOrder="0" shrinkToFit="0" vertical="center" wrapText="0"/>
    </xf>
    <xf borderId="5" fillId="5" fontId="8" numFmtId="0" xfId="0" applyAlignment="1" applyBorder="1" applyFont="1">
      <alignment shrinkToFit="0" vertical="center" wrapText="0"/>
    </xf>
    <xf borderId="5" fillId="5" fontId="9" numFmtId="4" xfId="0" applyAlignment="1" applyBorder="1" applyFont="1" applyNumberFormat="1">
      <alignment horizontal="center" shrinkToFit="0" vertical="center" wrapText="0"/>
    </xf>
    <xf borderId="5" fillId="5" fontId="9" numFmtId="3" xfId="0" applyAlignment="1" applyBorder="1" applyFont="1" applyNumberFormat="1">
      <alignment horizontal="center" shrinkToFit="0" vertical="center" wrapText="0"/>
    </xf>
    <xf borderId="5" fillId="5" fontId="10" numFmtId="4" xfId="0" applyAlignment="1" applyBorder="1" applyFont="1" applyNumberFormat="1">
      <alignment horizontal="center" shrinkToFit="0" vertical="center" wrapText="0"/>
    </xf>
    <xf borderId="6" fillId="3" fontId="4" numFmtId="0" xfId="0" applyAlignment="1" applyBorder="1" applyFont="1">
      <alignment horizontal="left" shrinkToFit="0" vertical="center" wrapText="0"/>
    </xf>
    <xf borderId="5" fillId="3" fontId="5" numFmtId="4" xfId="0" applyAlignment="1" applyBorder="1" applyFont="1" applyNumberFormat="1">
      <alignment horizontal="center" shrinkToFit="0" vertical="center" wrapText="0"/>
    </xf>
    <xf borderId="5" fillId="3" fontId="5" numFmtId="3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6" fillId="6" fontId="5" numFmtId="0" xfId="0" applyAlignment="1" applyBorder="1" applyFill="1" applyFont="1">
      <alignment horizontal="left" shrinkToFit="0" vertical="center" wrapText="0"/>
    </xf>
    <xf borderId="5" fillId="4" fontId="6" numFmtId="0" xfId="0" applyAlignment="1" applyBorder="1" applyFont="1">
      <alignment horizontal="center" readingOrder="0" shrinkToFit="0" vertical="center" wrapText="0"/>
    </xf>
    <xf borderId="0" fillId="0" fontId="9" numFmtId="4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5" fillId="7" fontId="6" numFmtId="0" xfId="0" applyAlignment="1" applyBorder="1" applyFill="1" applyFont="1">
      <alignment horizontal="center" readingOrder="0" shrinkToFit="0" vertical="center" wrapText="0"/>
    </xf>
    <xf borderId="5" fillId="7" fontId="7" numFmtId="0" xfId="0" applyAlignment="1" applyBorder="1" applyFont="1">
      <alignment readingOrder="0" shrinkToFit="0" vertical="center" wrapText="0"/>
    </xf>
    <xf borderId="5" fillId="7" fontId="8" numFmtId="0" xfId="0" applyAlignment="1" applyBorder="1" applyFont="1">
      <alignment shrinkToFit="0" vertical="center" wrapText="0"/>
    </xf>
    <xf borderId="5" fillId="7" fontId="9" numFmtId="4" xfId="0" applyAlignment="1" applyBorder="1" applyFont="1" applyNumberFormat="1">
      <alignment horizontal="center" shrinkToFit="0" vertical="center" wrapText="0"/>
    </xf>
    <xf borderId="5" fillId="7" fontId="9" numFmtId="3" xfId="0" applyAlignment="1" applyBorder="1" applyFont="1" applyNumberFormat="1">
      <alignment horizontal="center" shrinkToFit="0" vertical="center" wrapText="0"/>
    </xf>
    <xf borderId="5" fillId="8" fontId="9" numFmtId="4" xfId="0" applyAlignment="1" applyBorder="1" applyFill="1" applyFont="1" applyNumberFormat="1">
      <alignment horizontal="center" shrinkToFit="0" vertical="center" wrapText="0"/>
    </xf>
    <xf borderId="4" fillId="7" fontId="9" numFmtId="4" xfId="0" applyAlignment="1" applyBorder="1" applyFont="1" applyNumberFormat="1">
      <alignment horizontal="center" shrinkToFit="0" vertical="center" wrapText="0"/>
    </xf>
    <xf borderId="5" fillId="7" fontId="10" numFmtId="4" xfId="0" applyAlignment="1" applyBorder="1" applyFont="1" applyNumberFormat="1">
      <alignment horizontal="center" shrinkToFit="0" vertical="center" wrapText="0"/>
    </xf>
    <xf borderId="6" fillId="6" fontId="4" numFmtId="0" xfId="0" applyAlignment="1" applyBorder="1" applyFont="1">
      <alignment horizontal="left" shrinkToFit="0" vertical="center" wrapText="0"/>
    </xf>
    <xf borderId="5" fillId="6" fontId="5" numFmtId="4" xfId="0" applyAlignment="1" applyBorder="1" applyFont="1" applyNumberFormat="1">
      <alignment horizontal="center" shrinkToFit="0" vertical="center" wrapText="0"/>
    </xf>
    <xf borderId="5" fillId="6" fontId="5" numFmtId="3" xfId="0" applyAlignment="1" applyBorder="1" applyFont="1" applyNumberFormat="1">
      <alignment horizontal="center" shrinkToFit="0" vertical="center" wrapText="0"/>
    </xf>
    <xf borderId="6" fillId="9" fontId="5" numFmtId="0" xfId="0" applyAlignment="1" applyBorder="1" applyFill="1" applyFont="1">
      <alignment horizontal="left" shrinkToFit="0" vertical="center" wrapText="0"/>
    </xf>
    <xf borderId="5" fillId="10" fontId="6" numFmtId="0" xfId="0" applyAlignment="1" applyBorder="1" applyFill="1" applyFont="1">
      <alignment horizontal="center" readingOrder="0" shrinkToFit="0" vertical="center" wrapText="0"/>
    </xf>
    <xf borderId="5" fillId="10" fontId="7" numFmtId="0" xfId="0" applyAlignment="1" applyBorder="1" applyFont="1">
      <alignment readingOrder="0" shrinkToFit="0" vertical="center" wrapText="0"/>
    </xf>
    <xf borderId="5" fillId="10" fontId="8" numFmtId="0" xfId="0" applyAlignment="1" applyBorder="1" applyFont="1">
      <alignment shrinkToFit="0" vertical="center" wrapText="0"/>
    </xf>
    <xf borderId="5" fillId="10" fontId="9" numFmtId="4" xfId="0" applyAlignment="1" applyBorder="1" applyFont="1" applyNumberFormat="1">
      <alignment horizontal="center" shrinkToFit="0" vertical="center" wrapText="0"/>
    </xf>
    <xf borderId="5" fillId="10" fontId="9" numFmtId="3" xfId="0" applyAlignment="1" applyBorder="1" applyFont="1" applyNumberFormat="1">
      <alignment horizontal="center" shrinkToFit="0" vertical="center" wrapText="0"/>
    </xf>
    <xf borderId="5" fillId="10" fontId="10" numFmtId="4" xfId="0" applyAlignment="1" applyBorder="1" applyFont="1" applyNumberFormat="1">
      <alignment horizontal="center" shrinkToFit="0" vertical="center" wrapText="0"/>
    </xf>
    <xf borderId="6" fillId="9" fontId="4" numFmtId="0" xfId="0" applyAlignment="1" applyBorder="1" applyFont="1">
      <alignment horizontal="left" shrinkToFit="0" vertical="center" wrapText="0"/>
    </xf>
    <xf borderId="5" fillId="9" fontId="5" numFmtId="4" xfId="0" applyAlignment="1" applyBorder="1" applyFont="1" applyNumberFormat="1">
      <alignment horizontal="center" shrinkToFit="0" vertical="center" wrapText="0"/>
    </xf>
    <xf borderId="5" fillId="9" fontId="5" numFmtId="3" xfId="0" applyAlignment="1" applyBorder="1" applyFont="1" applyNumberFormat="1">
      <alignment horizontal="center" shrinkToFit="0" vertical="center" wrapText="0"/>
    </xf>
    <xf borderId="6" fillId="11" fontId="5" numFmtId="0" xfId="0" applyAlignment="1" applyBorder="1" applyFill="1" applyFont="1">
      <alignment horizontal="left" shrinkToFit="0" vertical="center" wrapText="0"/>
    </xf>
    <xf borderId="5" fillId="12" fontId="6" numFmtId="0" xfId="0" applyAlignment="1" applyBorder="1" applyFill="1" applyFont="1">
      <alignment horizontal="center" readingOrder="0" shrinkToFit="0" vertical="center" wrapText="0"/>
    </xf>
    <xf borderId="5" fillId="12" fontId="7" numFmtId="0" xfId="0" applyAlignment="1" applyBorder="1" applyFont="1">
      <alignment readingOrder="0" shrinkToFit="0" vertical="center" wrapText="0"/>
    </xf>
    <xf borderId="5" fillId="12" fontId="8" numFmtId="0" xfId="0" applyAlignment="1" applyBorder="1" applyFont="1">
      <alignment readingOrder="0" shrinkToFit="0" vertical="center" wrapText="0"/>
    </xf>
    <xf borderId="5" fillId="12" fontId="8" numFmtId="0" xfId="0" applyAlignment="1" applyBorder="1" applyFont="1">
      <alignment shrinkToFit="0" vertical="center" wrapText="0"/>
    </xf>
    <xf borderId="5" fillId="12" fontId="9" numFmtId="3" xfId="0" applyAlignment="1" applyBorder="1" applyFont="1" applyNumberFormat="1">
      <alignment horizontal="center" shrinkToFit="0" vertical="center" wrapText="0"/>
    </xf>
    <xf borderId="5" fillId="12" fontId="9" numFmtId="4" xfId="0" applyAlignment="1" applyBorder="1" applyFont="1" applyNumberFormat="1">
      <alignment horizontal="center" shrinkToFit="0" vertical="center" wrapText="0"/>
    </xf>
    <xf borderId="5" fillId="12" fontId="10" numFmtId="4" xfId="0" applyAlignment="1" applyBorder="1" applyFont="1" applyNumberFormat="1">
      <alignment horizontal="center" shrinkToFit="0" vertical="center" wrapText="0"/>
    </xf>
    <xf borderId="6" fillId="11" fontId="4" numFmtId="0" xfId="0" applyAlignment="1" applyBorder="1" applyFont="1">
      <alignment horizontal="left" shrinkToFit="0" vertical="center" wrapText="0"/>
    </xf>
    <xf borderId="5" fillId="11" fontId="5" numFmtId="4" xfId="0" applyAlignment="1" applyBorder="1" applyFont="1" applyNumberFormat="1">
      <alignment horizontal="center" shrinkToFit="0" vertical="center" wrapText="0"/>
    </xf>
    <xf borderId="5" fillId="11" fontId="5" numFmtId="3" xfId="0" applyAlignment="1" applyBorder="1" applyFont="1" applyNumberFormat="1">
      <alignment horizontal="center" shrinkToFit="0" vertical="center" wrapText="0"/>
    </xf>
    <xf borderId="6" fillId="2" fontId="13" numFmtId="0" xfId="0" applyAlignment="1" applyBorder="1" applyFont="1">
      <alignment horizontal="left" shrinkToFit="0" vertical="center" wrapText="0"/>
    </xf>
    <xf borderId="9" fillId="2" fontId="13" numFmtId="4" xfId="0" applyAlignment="1" applyBorder="1" applyFont="1" applyNumberFormat="1">
      <alignment horizontal="center" shrinkToFit="0" vertical="center" wrapText="0"/>
    </xf>
    <xf borderId="9" fillId="2" fontId="13" numFmtId="3" xfId="0" applyAlignment="1" applyBorder="1" applyFont="1" applyNumberFormat="1">
      <alignment horizontal="center" shrinkToFit="0" vertical="center" wrapText="0"/>
    </xf>
    <xf borderId="10" fillId="2" fontId="13" numFmtId="4" xfId="0" applyAlignment="1" applyBorder="1" applyFont="1" applyNumberFormat="1">
      <alignment horizontal="center" shrinkToFit="0" vertical="center" wrapText="0"/>
    </xf>
    <xf borderId="5" fillId="2" fontId="13" numFmtId="4" xfId="0" applyAlignment="1" applyBorder="1" applyFont="1" applyNumberFormat="1">
      <alignment horizontal="center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horizontal="center" shrinkToFit="0" vertical="center" wrapText="0"/>
    </xf>
    <xf borderId="1" fillId="13" fontId="13" numFmtId="0" xfId="0" applyAlignment="1" applyBorder="1" applyFill="1" applyFont="1">
      <alignment shrinkToFit="0" vertical="center" wrapText="0"/>
    </xf>
    <xf borderId="4" fillId="13" fontId="13" numFmtId="0" xfId="0" applyAlignment="1" applyBorder="1" applyFont="1">
      <alignment shrinkToFit="0" vertical="center" wrapText="0"/>
    </xf>
    <xf borderId="4" fillId="13" fontId="13" numFmtId="0" xfId="0" applyAlignment="1" applyBorder="1" applyFont="1">
      <alignment horizontal="center" shrinkToFit="0" vertical="center" wrapText="0"/>
    </xf>
    <xf borderId="1" fillId="9" fontId="13" numFmtId="0" xfId="0" applyAlignment="1" applyBorder="1" applyFont="1">
      <alignment shrinkToFit="0" vertical="center" wrapText="0"/>
    </xf>
    <xf borderId="4" fillId="9" fontId="13" numFmtId="0" xfId="0" applyAlignment="1" applyBorder="1" applyFont="1">
      <alignment shrinkToFit="0" vertical="center" wrapText="0"/>
    </xf>
    <xf borderId="4" fillId="9" fontId="13" numFmtId="4" xfId="0" applyAlignment="1" applyBorder="1" applyFont="1" applyNumberFormat="1">
      <alignment horizontal="center" shrinkToFit="0" vertical="center" wrapText="0"/>
    </xf>
    <xf borderId="11" fillId="14" fontId="4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ont="1">
      <alignment shrinkToFit="0" vertical="center" wrapText="1"/>
    </xf>
    <xf borderId="11" fillId="15" fontId="8" numFmtId="2" xfId="0" applyAlignment="1" applyBorder="1" applyFill="1" applyFont="1" applyNumberFormat="1">
      <alignment horizontal="center" shrinkToFit="0" vertical="center" wrapText="1"/>
    </xf>
    <xf borderId="11" fillId="15" fontId="8" numFmtId="4" xfId="0" applyAlignment="1" applyBorder="1" applyFont="1" applyNumberFormat="1">
      <alignment horizontal="center" shrinkToFit="0" vertical="center" wrapText="1"/>
    </xf>
    <xf borderId="11" fillId="15" fontId="8" numFmtId="164" xfId="0" applyAlignment="1" applyBorder="1" applyFont="1" applyNumberFormat="1">
      <alignment horizontal="center" shrinkToFit="0" vertical="center" wrapText="1"/>
    </xf>
    <xf borderId="0" fillId="0" fontId="3" numFmtId="4" xfId="0" applyAlignment="1" applyFont="1" applyNumberFormat="1">
      <alignment shrinkToFit="0" vertical="bottom" wrapText="0"/>
    </xf>
    <xf borderId="1" fillId="2" fontId="1" numFmtId="0" xfId="0" applyAlignment="1" applyBorder="1" applyFont="1">
      <alignment horizontal="center" readingOrder="0" shrinkToFit="0" vertical="center" wrapText="1"/>
    </xf>
    <xf borderId="12" fillId="16" fontId="13" numFmtId="0" xfId="0" applyAlignment="1" applyBorder="1" applyFill="1" applyFont="1">
      <alignment shrinkToFit="0" vertical="bottom" wrapText="0"/>
    </xf>
    <xf borderId="13" fillId="16" fontId="13" numFmtId="0" xfId="0" applyAlignment="1" applyBorder="1" applyFont="1">
      <alignment shrinkToFit="0" vertical="bottom" wrapText="0"/>
    </xf>
    <xf borderId="14" fillId="16" fontId="13" numFmtId="0" xfId="0" applyAlignment="1" applyBorder="1" applyFont="1">
      <alignment shrinkToFit="0" vertical="bottom" wrapText="0"/>
    </xf>
    <xf borderId="15" fillId="17" fontId="14" numFmtId="0" xfId="0" applyAlignment="1" applyBorder="1" applyFill="1" applyFont="1">
      <alignment shrinkToFit="0" vertical="bottom" wrapText="0"/>
    </xf>
    <xf borderId="16" fillId="0" fontId="2" numFmtId="0" xfId="0" applyBorder="1" applyFont="1"/>
    <xf borderId="17" fillId="18" fontId="15" numFmtId="3" xfId="0" applyAlignment="1" applyBorder="1" applyFill="1" applyFont="1" applyNumberFormat="1">
      <alignment horizontal="center" shrinkToFit="0" vertical="bottom" wrapText="0"/>
    </xf>
    <xf borderId="15" fillId="4" fontId="14" numFmtId="0" xfId="0" applyAlignment="1" applyBorder="1" applyFont="1">
      <alignment shrinkToFit="0" vertical="bottom" wrapText="0"/>
    </xf>
    <xf borderId="17" fillId="18" fontId="15" numFmtId="2" xfId="0" applyAlignment="1" applyBorder="1" applyFont="1" applyNumberFormat="1">
      <alignment horizontal="center" shrinkToFit="0" vertical="bottom" wrapText="0"/>
    </xf>
    <xf borderId="17" fillId="18" fontId="15" numFmtId="0" xfId="0" applyAlignment="1" applyBorder="1" applyFont="1">
      <alignment horizontal="center" shrinkToFit="0" vertical="bottom" wrapText="0"/>
    </xf>
    <xf borderId="17" fillId="17" fontId="14" numFmtId="3" xfId="0" applyAlignment="1" applyBorder="1" applyFont="1" applyNumberFormat="1">
      <alignment horizontal="center" shrinkToFit="0" vertical="bottom" wrapText="0"/>
    </xf>
    <xf borderId="12" fillId="19" fontId="13" numFmtId="0" xfId="0" applyAlignment="1" applyBorder="1" applyFill="1" applyFont="1">
      <alignment shrinkToFit="0" vertical="bottom" wrapText="0"/>
    </xf>
    <xf borderId="13" fillId="19" fontId="13" numFmtId="0" xfId="0" applyAlignment="1" applyBorder="1" applyFont="1">
      <alignment shrinkToFit="0" vertical="bottom" wrapText="0"/>
    </xf>
    <xf borderId="14" fillId="19" fontId="13" numFmtId="0" xfId="0" applyAlignment="1" applyBorder="1" applyFont="1">
      <alignment shrinkToFit="0" vertical="bottom" wrapText="0"/>
    </xf>
    <xf borderId="15" fillId="19" fontId="13" numFmtId="0" xfId="0" applyAlignment="1" applyBorder="1" applyFont="1">
      <alignment horizontal="center" shrinkToFit="0" vertical="bottom" wrapText="0"/>
    </xf>
    <xf borderId="17" fillId="19" fontId="13" numFmtId="0" xfId="0" applyAlignment="1" applyBorder="1" applyFont="1">
      <alignment horizontal="center" shrinkToFit="0" vertical="bottom" wrapText="0"/>
    </xf>
    <xf borderId="15" fillId="18" fontId="14" numFmtId="0" xfId="0" applyAlignment="1" applyBorder="1" applyFont="1">
      <alignment shrinkToFit="0" vertical="bottom" wrapText="0"/>
    </xf>
    <xf borderId="17" fillId="18" fontId="14" numFmtId="4" xfId="0" applyAlignment="1" applyBorder="1" applyFont="1" applyNumberFormat="1">
      <alignment horizontal="center" shrinkToFit="0" vertical="bottom" wrapText="0"/>
    </xf>
    <xf borderId="15" fillId="20" fontId="14" numFmtId="0" xfId="0" applyAlignment="1" applyBorder="1" applyFill="1" applyFont="1">
      <alignment shrinkToFit="0" vertical="bottom" wrapText="0"/>
    </xf>
    <xf borderId="17" fillId="20" fontId="14" numFmtId="4" xfId="0" applyAlignment="1" applyBorder="1" applyFont="1" applyNumberFormat="1">
      <alignment horizontal="center" shrinkToFit="0" vertical="bottom" wrapText="0"/>
    </xf>
    <xf borderId="15" fillId="21" fontId="16" numFmtId="0" xfId="0" applyAlignment="1" applyBorder="1" applyFill="1" applyFont="1">
      <alignment shrinkToFit="0" vertical="bottom" wrapText="0"/>
    </xf>
    <xf borderId="17" fillId="21" fontId="16" numFmtId="4" xfId="0" applyAlignment="1" applyBorder="1" applyFont="1" applyNumberFormat="1">
      <alignment horizontal="center" shrinkToFit="0" vertical="bottom" wrapText="0"/>
    </xf>
    <xf borderId="15" fillId="21" fontId="14" numFmtId="0" xfId="0" applyAlignment="1" applyBorder="1" applyFont="1">
      <alignment shrinkToFit="0" vertical="bottom" wrapText="0"/>
    </xf>
    <xf borderId="17" fillId="21" fontId="14" numFmtId="4" xfId="0" applyAlignment="1" applyBorder="1" applyFont="1" applyNumberFormat="1">
      <alignment horizontal="center" shrinkToFit="0" vertical="bottom" wrapText="0"/>
    </xf>
    <xf borderId="17" fillId="17" fontId="14" numFmtId="0" xfId="0" applyAlignment="1" applyBorder="1" applyFont="1">
      <alignment shrinkToFit="0" vertical="bottom" wrapText="0"/>
    </xf>
    <xf borderId="17" fillId="17" fontId="14" numFmtId="0" xfId="0" applyAlignment="1" applyBorder="1" applyFont="1">
      <alignment horizontal="center" shrinkToFit="0" vertical="bottom" wrapText="0"/>
    </xf>
    <xf borderId="17" fillId="17" fontId="14" numFmtId="4" xfId="0" applyAlignment="1" applyBorder="1" applyFont="1" applyNumberFormat="1">
      <alignment horizontal="center" shrinkToFit="0" vertical="bottom" wrapText="0"/>
    </xf>
    <xf borderId="17" fillId="4" fontId="14" numFmtId="0" xfId="0" applyAlignment="1" applyBorder="1" applyFont="1">
      <alignment shrinkToFit="0" vertical="bottom" wrapText="0"/>
    </xf>
    <xf borderId="17" fillId="4" fontId="14" numFmtId="0" xfId="0" applyAlignment="1" applyBorder="1" applyFont="1">
      <alignment horizontal="center" shrinkToFit="0" vertical="bottom" wrapText="0"/>
    </xf>
    <xf borderId="17" fillId="4" fontId="14" numFmtId="4" xfId="0" applyAlignment="1" applyBorder="1" applyFont="1" applyNumberFormat="1">
      <alignment horizontal="center" shrinkToFit="0" vertical="bottom" wrapText="0"/>
    </xf>
    <xf borderId="17" fillId="16" fontId="13" numFmtId="0" xfId="0" applyAlignment="1" applyBorder="1" applyFont="1">
      <alignment shrinkToFit="0" vertical="bottom" wrapText="0"/>
    </xf>
    <xf borderId="17" fillId="16" fontId="13" numFmtId="0" xfId="0" applyAlignment="1" applyBorder="1" applyFont="1">
      <alignment horizontal="center" shrinkToFit="0" vertical="bottom" wrapText="0"/>
    </xf>
    <xf borderId="17" fillId="16" fontId="3" numFmtId="0" xfId="0" applyAlignment="1" applyBorder="1" applyFont="1">
      <alignment shrinkToFit="0" vertical="bottom" wrapText="0"/>
    </xf>
    <xf borderId="17" fillId="16" fontId="13" numFmtId="4" xfId="0" applyAlignment="1" applyBorder="1" applyFont="1" applyNumberFormat="1">
      <alignment horizontal="center" shrinkToFit="0" vertical="bottom" wrapText="0"/>
    </xf>
    <xf borderId="15" fillId="0" fontId="13" numFmtId="0" xfId="0" applyAlignment="1" applyBorder="1" applyFont="1">
      <alignment shrinkToFit="0" vertical="bottom" wrapText="0"/>
    </xf>
    <xf borderId="18" fillId="0" fontId="13" numFmtId="0" xfId="0" applyAlignment="1" applyBorder="1" applyFont="1">
      <alignment shrinkToFit="0" vertical="bottom" wrapText="0"/>
    </xf>
    <xf borderId="1" fillId="2" fontId="17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shrinkToFit="0" vertical="center" wrapText="0"/>
    </xf>
    <xf borderId="5" fillId="6" fontId="4" numFmtId="0" xfId="0" applyAlignment="1" applyBorder="1" applyFont="1">
      <alignment horizontal="center" shrinkToFit="0" vertical="center" wrapText="0"/>
    </xf>
    <xf borderId="5" fillId="15" fontId="18" numFmtId="0" xfId="0" applyAlignment="1" applyBorder="1" applyFont="1">
      <alignment shrinkToFit="0" vertical="bottom" wrapText="0"/>
    </xf>
    <xf borderId="5" fillId="15" fontId="19" numFmtId="165" xfId="0" applyAlignment="1" applyBorder="1" applyFont="1" applyNumberFormat="1">
      <alignment horizontal="center" shrinkToFit="0" vertical="bottom" wrapText="0"/>
    </xf>
    <xf borderId="1" fillId="9" fontId="5" numFmtId="0" xfId="0" applyAlignment="1" applyBorder="1" applyFont="1">
      <alignment horizontal="center" shrinkToFit="0" vertical="center" wrapText="0"/>
    </xf>
    <xf borderId="5" fillId="9" fontId="4" numFmtId="0" xfId="0" applyAlignment="1" applyBorder="1" applyFont="1">
      <alignment horizontal="center" shrinkToFit="0" vertical="center" wrapText="0"/>
    </xf>
    <xf borderId="5" fillId="22" fontId="18" numFmtId="0" xfId="0" applyAlignment="1" applyBorder="1" applyFill="1" applyFont="1">
      <alignment shrinkToFit="0" vertical="bottom" wrapText="0"/>
    </xf>
    <xf borderId="5" fillId="22" fontId="19" numFmtId="165" xfId="0" applyAlignment="1" applyBorder="1" applyFont="1" applyNumberFormat="1">
      <alignment horizontal="center" shrinkToFit="0" vertical="bottom" wrapText="0"/>
    </xf>
    <xf borderId="5" fillId="4" fontId="18" numFmtId="0" xfId="0" applyAlignment="1" applyBorder="1" applyFont="1">
      <alignment shrinkToFit="0" vertical="bottom" wrapText="0"/>
    </xf>
    <xf borderId="5" fillId="4" fontId="19" numFmtId="165" xfId="0" applyAlignment="1" applyBorder="1" applyFont="1" applyNumberForma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4" fillId="23" fontId="5" numFmtId="0" xfId="0" applyAlignment="1" applyBorder="1" applyFill="1" applyFont="1">
      <alignment horizontal="center" shrinkToFit="0" vertical="center" wrapText="0"/>
    </xf>
    <xf borderId="4" fillId="23" fontId="5" numFmtId="166" xfId="0" applyAlignment="1" applyBorder="1" applyFont="1" applyNumberFormat="1">
      <alignment horizontal="center" shrinkToFit="0" vertical="center" wrapText="0"/>
    </xf>
    <xf borderId="0" fillId="0" fontId="14" numFmtId="167" xfId="0" applyAlignment="1" applyFont="1" applyNumberFormat="1">
      <alignment shrinkToFit="0" vertical="bottom" wrapText="0"/>
    </xf>
    <xf borderId="5" fillId="24" fontId="5" numFmtId="49" xfId="0" applyAlignment="1" applyBorder="1" applyFill="1" applyFont="1" applyNumberFormat="1">
      <alignment horizontal="center" shrinkToFit="0" vertical="center" wrapText="0"/>
    </xf>
    <xf borderId="5" fillId="24" fontId="5" numFmtId="0" xfId="0" applyAlignment="1" applyBorder="1" applyFont="1">
      <alignment horizontal="left" shrinkToFit="0" vertical="center" wrapText="1"/>
    </xf>
    <xf borderId="5" fillId="24" fontId="5" numFmtId="166" xfId="0" applyAlignment="1" applyBorder="1" applyFont="1" applyNumberFormat="1">
      <alignment horizontal="center" shrinkToFit="0" vertical="center" wrapText="0"/>
    </xf>
    <xf borderId="5" fillId="24" fontId="5" numFmtId="168" xfId="0" applyAlignment="1" applyBorder="1" applyFont="1" applyNumberFormat="1">
      <alignment horizontal="center" shrinkToFit="0" vertical="center" wrapText="0"/>
    </xf>
    <xf borderId="5" fillId="24" fontId="5" numFmtId="0" xfId="0" applyAlignment="1" applyBorder="1" applyFont="1">
      <alignment horizontal="left" shrinkToFit="0" vertical="center" wrapText="0"/>
    </xf>
    <xf borderId="5" fillId="24" fontId="5" numFmtId="167" xfId="0" applyAlignment="1" applyBorder="1" applyFont="1" applyNumberFormat="1">
      <alignment horizontal="center" shrinkToFit="0" vertical="center" wrapText="0"/>
    </xf>
    <xf borderId="5" fillId="7" fontId="18" numFmtId="49" xfId="0" applyAlignment="1" applyBorder="1" applyFont="1" applyNumberFormat="1">
      <alignment horizontal="center" shrinkToFit="0" vertical="center" wrapText="0"/>
    </xf>
    <xf borderId="5" fillId="7" fontId="18" numFmtId="0" xfId="0" applyAlignment="1" applyBorder="1" applyFont="1">
      <alignment horizontal="left" shrinkToFit="0" vertical="center" wrapText="1"/>
    </xf>
    <xf borderId="5" fillId="7" fontId="18" numFmtId="166" xfId="0" applyAlignment="1" applyBorder="1" applyFont="1" applyNumberFormat="1">
      <alignment horizontal="center" shrinkToFit="0" vertical="center" wrapText="0"/>
    </xf>
    <xf borderId="5" fillId="7" fontId="18" numFmtId="168" xfId="0" applyAlignment="1" applyBorder="1" applyFont="1" applyNumberFormat="1">
      <alignment horizontal="center" shrinkToFit="0" vertical="center" wrapText="0"/>
    </xf>
    <xf borderId="5" fillId="7" fontId="18" numFmtId="0" xfId="0" applyAlignment="1" applyBorder="1" applyFont="1">
      <alignment horizontal="left" shrinkToFit="0" vertical="center" wrapText="0"/>
    </xf>
    <xf borderId="5" fillId="7" fontId="18" numFmtId="0" xfId="0" applyAlignment="1" applyBorder="1" applyFont="1">
      <alignment horizontal="center" shrinkToFit="0" vertical="center" wrapText="0"/>
    </xf>
    <xf borderId="5" fillId="25" fontId="18" numFmtId="49" xfId="0" applyAlignment="1" applyBorder="1" applyFill="1" applyFont="1" applyNumberFormat="1">
      <alignment horizontal="center" shrinkToFit="0" vertical="center" wrapText="0"/>
    </xf>
    <xf borderId="5" fillId="25" fontId="18" numFmtId="0" xfId="0" applyAlignment="1" applyBorder="1" applyFont="1">
      <alignment horizontal="left" shrinkToFit="0" vertical="center" wrapText="1"/>
    </xf>
    <xf borderId="5" fillId="25" fontId="18" numFmtId="166" xfId="0" applyAlignment="1" applyBorder="1" applyFont="1" applyNumberFormat="1">
      <alignment horizontal="center" shrinkToFit="0" vertical="center" wrapText="0"/>
    </xf>
    <xf borderId="5" fillId="25" fontId="18" numFmtId="168" xfId="0" applyAlignment="1" applyBorder="1" applyFont="1" applyNumberFormat="1">
      <alignment horizontal="center" shrinkToFit="0" vertical="center" wrapText="0"/>
    </xf>
    <xf borderId="5" fillId="25" fontId="18" numFmtId="0" xfId="0" applyAlignment="1" applyBorder="1" applyFont="1">
      <alignment horizontal="left" shrinkToFit="0" vertical="center" wrapText="0"/>
    </xf>
    <xf borderId="5" fillId="25" fontId="18" numFmtId="0" xfId="0" applyAlignment="1" applyBorder="1" applyFont="1">
      <alignment horizontal="center" shrinkToFit="0" vertical="center" wrapText="0"/>
    </xf>
    <xf borderId="5" fillId="26" fontId="18" numFmtId="49" xfId="0" applyAlignment="1" applyBorder="1" applyFill="1" applyFont="1" applyNumberFormat="1">
      <alignment horizontal="center" shrinkToFit="0" vertical="center" wrapText="0"/>
    </xf>
    <xf borderId="5" fillId="26" fontId="18" numFmtId="0" xfId="0" applyAlignment="1" applyBorder="1" applyFont="1">
      <alignment horizontal="left" shrinkToFit="0" vertical="center" wrapText="1"/>
    </xf>
    <xf borderId="5" fillId="26" fontId="18" numFmtId="166" xfId="0" applyAlignment="1" applyBorder="1" applyFont="1" applyNumberFormat="1">
      <alignment horizontal="center" shrinkToFit="0" vertical="center" wrapText="0"/>
    </xf>
    <xf borderId="5" fillId="26" fontId="18" numFmtId="168" xfId="0" applyAlignment="1" applyBorder="1" applyFont="1" applyNumberFormat="1">
      <alignment horizontal="center" shrinkToFit="0" vertical="center" wrapText="0"/>
    </xf>
    <xf borderId="5" fillId="26" fontId="18" numFmtId="0" xfId="0" applyAlignment="1" applyBorder="1" applyFont="1">
      <alignment horizontal="left" shrinkToFit="0" vertical="center" wrapText="0"/>
    </xf>
    <xf borderId="5" fillId="26" fontId="18" numFmtId="0" xfId="0" applyAlignment="1" applyBorder="1" applyFont="1">
      <alignment horizontal="center" shrinkToFit="0" vertical="center" wrapText="0"/>
    </xf>
    <xf borderId="5" fillId="24" fontId="5" numFmtId="0" xfId="0" applyAlignment="1" applyBorder="1" applyFont="1">
      <alignment horizontal="center" shrinkToFit="0" vertical="center" wrapText="0"/>
    </xf>
    <xf borderId="5" fillId="27" fontId="18" numFmtId="49" xfId="0" applyAlignment="1" applyBorder="1" applyFill="1" applyFont="1" applyNumberFormat="1">
      <alignment horizontal="center" shrinkToFit="0" vertical="center" wrapText="0"/>
    </xf>
    <xf borderId="5" fillId="27" fontId="18" numFmtId="0" xfId="0" applyAlignment="1" applyBorder="1" applyFont="1">
      <alignment horizontal="left" shrinkToFit="0" vertical="center" wrapText="1"/>
    </xf>
    <xf borderId="5" fillId="27" fontId="18" numFmtId="166" xfId="0" applyAlignment="1" applyBorder="1" applyFont="1" applyNumberFormat="1">
      <alignment horizontal="center" shrinkToFit="0" vertical="center" wrapText="0"/>
    </xf>
    <xf borderId="5" fillId="27" fontId="18" numFmtId="168" xfId="0" applyAlignment="1" applyBorder="1" applyFont="1" applyNumberFormat="1">
      <alignment horizontal="center" shrinkToFit="0" vertical="center" wrapText="0"/>
    </xf>
    <xf borderId="5" fillId="27" fontId="18" numFmtId="0" xfId="0" applyAlignment="1" applyBorder="1" applyFont="1">
      <alignment horizontal="left" shrinkToFit="0" vertical="center" wrapText="0"/>
    </xf>
    <xf borderId="5" fillId="27" fontId="18" numFmtId="0" xfId="0" applyAlignment="1" applyBorder="1" applyFont="1">
      <alignment horizontal="center" shrinkToFit="0" vertical="center" wrapText="0"/>
    </xf>
    <xf borderId="5" fillId="28" fontId="18" numFmtId="49" xfId="0" applyAlignment="1" applyBorder="1" applyFill="1" applyFont="1" applyNumberFormat="1">
      <alignment horizontal="center" shrinkToFit="0" vertical="center" wrapText="0"/>
    </xf>
    <xf borderId="5" fillId="28" fontId="18" numFmtId="0" xfId="0" applyAlignment="1" applyBorder="1" applyFont="1">
      <alignment horizontal="left" shrinkToFit="0" vertical="center" wrapText="1"/>
    </xf>
    <xf borderId="5" fillId="28" fontId="18" numFmtId="166" xfId="0" applyAlignment="1" applyBorder="1" applyFont="1" applyNumberFormat="1">
      <alignment horizontal="center" shrinkToFit="0" vertical="center" wrapText="0"/>
    </xf>
    <xf borderId="5" fillId="28" fontId="18" numFmtId="168" xfId="0" applyAlignment="1" applyBorder="1" applyFont="1" applyNumberFormat="1">
      <alignment horizontal="center" shrinkToFit="0" vertical="center" wrapText="0"/>
    </xf>
    <xf borderId="5" fillId="28" fontId="18" numFmtId="0" xfId="0" applyAlignment="1" applyBorder="1" applyFont="1">
      <alignment horizontal="left" shrinkToFit="0" vertical="center" wrapText="0"/>
    </xf>
    <xf borderId="5" fillId="28" fontId="18" numFmtId="0" xfId="0" applyAlignment="1" applyBorder="1" applyFont="1">
      <alignment horizontal="center" shrinkToFit="0" vertical="center" wrapText="0"/>
    </xf>
    <xf borderId="5" fillId="29" fontId="18" numFmtId="49" xfId="0" applyAlignment="1" applyBorder="1" applyFill="1" applyFont="1" applyNumberFormat="1">
      <alignment horizontal="center" shrinkToFit="0" vertical="center" wrapText="0"/>
    </xf>
    <xf borderId="5" fillId="29" fontId="18" numFmtId="0" xfId="0" applyAlignment="1" applyBorder="1" applyFont="1">
      <alignment horizontal="left" shrinkToFit="0" vertical="center" wrapText="1"/>
    </xf>
    <xf borderId="5" fillId="29" fontId="18" numFmtId="166" xfId="0" applyAlignment="1" applyBorder="1" applyFont="1" applyNumberFormat="1">
      <alignment horizontal="center" shrinkToFit="0" vertical="center" wrapText="0"/>
    </xf>
    <xf borderId="5" fillId="29" fontId="18" numFmtId="168" xfId="0" applyAlignment="1" applyBorder="1" applyFont="1" applyNumberFormat="1">
      <alignment horizontal="center" shrinkToFit="0" vertical="center" wrapText="0"/>
    </xf>
    <xf borderId="5" fillId="29" fontId="18" numFmtId="0" xfId="0" applyAlignment="1" applyBorder="1" applyFont="1">
      <alignment horizontal="left" shrinkToFit="0" vertical="center" wrapText="0"/>
    </xf>
    <xf borderId="5" fillId="29" fontId="18" numFmtId="0" xfId="0" applyAlignment="1" applyBorder="1" applyFont="1">
      <alignment horizontal="center" shrinkToFit="0" vertical="center" wrapText="0"/>
    </xf>
    <xf borderId="5" fillId="30" fontId="18" numFmtId="49" xfId="0" applyAlignment="1" applyBorder="1" applyFill="1" applyFont="1" applyNumberFormat="1">
      <alignment horizontal="center" shrinkToFit="0" vertical="center" wrapText="0"/>
    </xf>
    <xf borderId="5" fillId="30" fontId="18" numFmtId="0" xfId="0" applyAlignment="1" applyBorder="1" applyFont="1">
      <alignment horizontal="left" shrinkToFit="0" vertical="center" wrapText="1"/>
    </xf>
    <xf borderId="5" fillId="30" fontId="18" numFmtId="166" xfId="0" applyAlignment="1" applyBorder="1" applyFont="1" applyNumberFormat="1">
      <alignment horizontal="center" shrinkToFit="0" vertical="center" wrapText="0"/>
    </xf>
    <xf borderId="5" fillId="30" fontId="18" numFmtId="168" xfId="0" applyAlignment="1" applyBorder="1" applyFont="1" applyNumberFormat="1">
      <alignment horizontal="center" shrinkToFit="0" vertical="center" wrapText="0"/>
    </xf>
    <xf borderId="5" fillId="30" fontId="18" numFmtId="0" xfId="0" applyAlignment="1" applyBorder="1" applyFont="1">
      <alignment horizontal="left" shrinkToFit="0" vertical="center" wrapText="0"/>
    </xf>
    <xf borderId="5" fillId="30" fontId="18" numFmtId="0" xfId="0" applyAlignment="1" applyBorder="1" applyFont="1">
      <alignment horizontal="center" shrinkToFit="0" vertical="center" wrapText="0"/>
    </xf>
    <xf borderId="5" fillId="30" fontId="18" numFmtId="167" xfId="0" applyAlignment="1" applyBorder="1" applyFont="1" applyNumberFormat="1">
      <alignment horizontal="center" shrinkToFit="0" vertical="center" wrapText="0"/>
    </xf>
    <xf borderId="0" fillId="0" fontId="14" numFmtId="49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0" fillId="0" fontId="14" numFmtId="168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22" numFmtId="0" xfId="0" applyFont="1"/>
    <xf borderId="1" fillId="9" fontId="23" numFmtId="0" xfId="0" applyAlignment="1" applyBorder="1" applyFont="1">
      <alignment horizontal="center" readingOrder="0" shrinkToFit="0" vertical="center" wrapText="0"/>
    </xf>
    <xf borderId="1" fillId="8" fontId="24" numFmtId="166" xfId="0" applyAlignment="1" applyBorder="1" applyFont="1" applyNumberFormat="1">
      <alignment horizontal="center" shrinkToFit="0" vertical="center" wrapText="0"/>
    </xf>
    <xf borderId="5" fillId="9" fontId="4" numFmtId="166" xfId="0" applyAlignment="1" applyBorder="1" applyFont="1" applyNumberFormat="1">
      <alignment horizontal="center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5" fillId="22" fontId="18" numFmtId="166" xfId="0" applyAlignment="1" applyBorder="1" applyFont="1" applyNumberFormat="1">
      <alignment readingOrder="0" shrinkToFit="0" vertical="center" wrapText="0"/>
    </xf>
    <xf borderId="5" fillId="22" fontId="18" numFmtId="0" xfId="0" applyAlignment="1" applyBorder="1" applyFont="1">
      <alignment readingOrder="0" shrinkToFit="0" vertical="center" wrapText="0"/>
    </xf>
    <xf borderId="5" fillId="22" fontId="18" numFmtId="0" xfId="0" applyAlignment="1" applyBorder="1" applyFont="1">
      <alignment shrinkToFit="0" vertical="center" wrapText="0"/>
    </xf>
    <xf borderId="5" fillId="22" fontId="9" numFmtId="4" xfId="0" applyAlignment="1" applyBorder="1" applyFont="1" applyNumberFormat="1">
      <alignment shrinkToFit="0" vertical="center" wrapText="0"/>
    </xf>
    <xf borderId="5" fillId="22" fontId="18" numFmtId="4" xfId="0" applyAlignment="1" applyBorder="1" applyFont="1" applyNumberFormat="1">
      <alignment shrinkToFit="0" vertical="center" wrapText="0"/>
    </xf>
    <xf borderId="5" fillId="4" fontId="18" numFmtId="166" xfId="0" applyAlignment="1" applyBorder="1" applyFont="1" applyNumberFormat="1">
      <alignment readingOrder="0" shrinkToFit="0" vertical="center" wrapText="0"/>
    </xf>
    <xf borderId="5" fillId="4" fontId="18" numFmtId="0" xfId="0" applyAlignment="1" applyBorder="1" applyFont="1">
      <alignment readingOrder="0" shrinkToFit="0" vertical="center" wrapText="0"/>
    </xf>
    <xf borderId="5" fillId="4" fontId="18" numFmtId="0" xfId="0" applyAlignment="1" applyBorder="1" applyFont="1">
      <alignment shrinkToFit="0" vertical="center" wrapText="0"/>
    </xf>
    <xf borderId="6" fillId="0" fontId="18" numFmtId="166" xfId="0" applyAlignment="1" applyBorder="1" applyFont="1" applyNumberFormat="1">
      <alignment readingOrder="0" shrinkToFit="0" vertical="center" wrapText="0"/>
    </xf>
    <xf borderId="6" fillId="0" fontId="18" numFmtId="0" xfId="0" applyAlignment="1" applyBorder="1" applyFont="1">
      <alignment readingOrder="0" shrinkToFit="0" vertical="center" wrapText="0"/>
    </xf>
    <xf borderId="6" fillId="0" fontId="18" numFmtId="0" xfId="0" applyAlignment="1" applyBorder="1" applyFont="1">
      <alignment shrinkToFit="0" vertical="center" wrapText="0"/>
    </xf>
    <xf borderId="5" fillId="0" fontId="18" numFmtId="0" xfId="0" applyAlignment="1" applyBorder="1" applyFont="1">
      <alignment readingOrder="0" shrinkToFit="0" vertical="center" wrapText="0"/>
    </xf>
    <xf borderId="6" fillId="9" fontId="5" numFmtId="166" xfId="0" applyAlignment="1" applyBorder="1" applyFont="1" applyNumberFormat="1">
      <alignment horizontal="right" shrinkToFit="0" vertical="center" wrapText="0"/>
    </xf>
    <xf borderId="5" fillId="9" fontId="13" numFmtId="3" xfId="0" applyAlignment="1" applyBorder="1" applyFont="1" applyNumberFormat="1">
      <alignment shrinkToFit="0" vertical="bottom" wrapText="0"/>
    </xf>
    <xf borderId="5" fillId="9" fontId="3" numFmtId="0" xfId="0" applyAlignment="1" applyBorder="1" applyFont="1">
      <alignment shrinkToFit="0" vertical="bottom" wrapText="0"/>
    </xf>
    <xf borderId="5" fillId="9" fontId="13" numFmtId="4" xfId="0" applyAlignment="1" applyBorder="1" applyFont="1" applyNumberFormat="1">
      <alignment shrinkToFit="0" vertical="bottom" wrapText="0"/>
    </xf>
    <xf borderId="5" fillId="9" fontId="13" numFmtId="0" xfId="0" applyAlignment="1" applyBorder="1" applyFont="1">
      <alignment horizontal="center" shrinkToFit="0" vertical="center" wrapText="1"/>
    </xf>
    <xf borderId="5" fillId="9" fontId="4" numFmtId="0" xfId="0" applyAlignment="1" applyBorder="1" applyFont="1">
      <alignment horizontal="center" readingOrder="0" shrinkToFit="0" vertical="center" wrapText="1"/>
    </xf>
    <xf borderId="5" fillId="0" fontId="18" numFmtId="166" xfId="0" applyAlignment="1" applyBorder="1" applyFont="1" applyNumberFormat="1">
      <alignment readingOrder="0" shrinkToFit="0" vertical="center" wrapText="0"/>
    </xf>
    <xf borderId="5" fillId="0" fontId="18" numFmtId="0" xfId="0" applyAlignment="1" applyBorder="1" applyFont="1">
      <alignment shrinkToFit="0" vertical="center" wrapText="0"/>
    </xf>
    <xf borderId="5" fillId="0" fontId="25" numFmtId="0" xfId="0" applyAlignment="1" applyBorder="1" applyFont="1">
      <alignment shrinkToFit="0" vertical="center" wrapText="0"/>
    </xf>
    <xf borderId="5" fillId="0" fontId="9" numFmtId="4" xfId="0" applyAlignment="1" applyBorder="1" applyFont="1" applyNumberFormat="1">
      <alignment shrinkToFit="0" vertical="center" wrapText="0"/>
    </xf>
    <xf borderId="5" fillId="0" fontId="18" numFmtId="4" xfId="0" applyAlignment="1" applyBorder="1" applyFont="1" applyNumberFormat="1">
      <alignment shrinkToFit="0" vertical="center" wrapText="0"/>
    </xf>
    <xf borderId="0" fillId="0" fontId="22" numFmtId="0" xfId="0" applyAlignment="1" applyFont="1">
      <alignment readingOrder="0"/>
    </xf>
    <xf borderId="5" fillId="22" fontId="25" numFmtId="0" xfId="0" applyAlignment="1" applyBorder="1" applyFont="1">
      <alignment shrinkToFit="0" vertical="center" wrapText="0"/>
    </xf>
    <xf borderId="4" fillId="22" fontId="3" numFmtId="0" xfId="0" applyAlignment="1" applyBorder="1" applyFont="1">
      <alignment readingOrder="0" shrinkToFit="0" vertical="bottom" wrapText="0"/>
    </xf>
    <xf borderId="4" fillId="22" fontId="3" numFmtId="0" xfId="0" applyAlignment="1" applyBorder="1" applyFont="1">
      <alignment shrinkToFit="0" vertical="bottom" wrapText="0"/>
    </xf>
    <xf borderId="5" fillId="0" fontId="25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bottom" wrapText="0"/>
    </xf>
    <xf borderId="4" fillId="9" fontId="3" numFmtId="0" xfId="0" applyAlignment="1" applyBorder="1" applyFont="1">
      <alignment shrinkToFit="0" vertical="bottom" wrapText="0"/>
    </xf>
    <xf borderId="4" fillId="9" fontId="26" numFmtId="0" xfId="0" applyAlignment="1" applyBorder="1" applyFont="1">
      <alignment horizontal="right" shrinkToFit="0" vertical="center" wrapText="0"/>
    </xf>
    <xf borderId="0" fillId="0" fontId="14" numFmtId="0" xfId="0" applyAlignment="1" applyFont="1">
      <alignment shrinkToFit="0" vertical="bottom" wrapText="0"/>
    </xf>
    <xf borderId="1" fillId="8" fontId="24" numFmtId="0" xfId="0" applyAlignment="1" applyBorder="1" applyFont="1">
      <alignment horizontal="center" readingOrder="0" shrinkToFit="0" vertical="center" wrapText="0"/>
    </xf>
    <xf borderId="5" fillId="9" fontId="5" numFmtId="0" xfId="0" applyAlignment="1" applyBorder="1" applyFont="1">
      <alignment horizontal="center" shrinkToFit="0" vertical="center" wrapText="1"/>
    </xf>
    <xf borderId="1" fillId="6" fontId="23" numFmtId="0" xfId="0" applyAlignment="1" applyBorder="1" applyFont="1">
      <alignment horizontal="center" readingOrder="0" shrinkToFit="0" vertical="center" wrapText="0"/>
    </xf>
    <xf borderId="1" fillId="22" fontId="24" numFmtId="0" xfId="0" applyAlignment="1" applyBorder="1" applyFont="1">
      <alignment horizontal="center" shrinkToFit="0" vertical="center" wrapText="0"/>
    </xf>
    <xf borderId="11" fillId="2" fontId="4" numFmtId="166" xfId="0" applyAlignment="1" applyBorder="1" applyFont="1" applyNumberFormat="1">
      <alignment horizontal="center" shrinkToFit="0" vertical="bottom" wrapText="1"/>
    </xf>
    <xf borderId="11" fillId="2" fontId="4" numFmtId="0" xfId="0" applyAlignment="1" applyBorder="1" applyFont="1">
      <alignment horizontal="center" shrinkToFit="0" vertical="bottom" wrapText="1"/>
    </xf>
    <xf borderId="5" fillId="7" fontId="27" numFmtId="166" xfId="0" applyAlignment="1" applyBorder="1" applyFont="1" applyNumberFormat="1">
      <alignment horizontal="center"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7" fontId="27" numFmtId="0" xfId="0" applyAlignment="1" applyBorder="1" applyFont="1">
      <alignment shrinkToFit="0" vertical="center" wrapText="0"/>
    </xf>
    <xf borderId="5" fillId="7" fontId="27" numFmtId="0" xfId="0" applyAlignment="1" applyBorder="1" applyFont="1">
      <alignment shrinkToFit="0" vertical="center" wrapText="0"/>
    </xf>
    <xf borderId="5" fillId="7" fontId="28" numFmtId="2" xfId="0" applyAlignment="1" applyBorder="1" applyFont="1" applyNumberFormat="1">
      <alignment shrinkToFit="0" vertical="center" wrapText="0"/>
    </xf>
    <xf borderId="5" fillId="7" fontId="27" numFmtId="4" xfId="0" applyAlignment="1" applyBorder="1" applyFont="1" applyNumberFormat="1">
      <alignment horizontal="center" shrinkToFit="0" vertical="center" wrapText="0"/>
    </xf>
    <xf borderId="5" fillId="4" fontId="27" numFmtId="166" xfId="0" applyAlignment="1" applyBorder="1" applyFont="1" applyNumberFormat="1">
      <alignment horizontal="center" readingOrder="0" shrinkToFit="0" vertical="center" wrapText="0"/>
    </xf>
    <xf borderId="5" fillId="4" fontId="27" numFmtId="0" xfId="0" applyAlignment="1" applyBorder="1" applyFont="1">
      <alignment readingOrder="0" shrinkToFit="0" vertical="center" wrapText="0"/>
    </xf>
    <xf borderId="5" fillId="4" fontId="27" numFmtId="0" xfId="0" applyAlignment="1" applyBorder="1" applyFont="1">
      <alignment shrinkToFit="0" vertical="center" wrapText="0"/>
    </xf>
    <xf borderId="5" fillId="4" fontId="27" numFmtId="0" xfId="0" applyAlignment="1" applyBorder="1" applyFont="1">
      <alignment shrinkToFit="0" vertical="center" wrapText="0"/>
    </xf>
    <xf borderId="5" fillId="4" fontId="28" numFmtId="2" xfId="0" applyAlignment="1" applyBorder="1" applyFont="1" applyNumberFormat="1">
      <alignment shrinkToFit="0" vertical="center" wrapText="0"/>
    </xf>
    <xf borderId="5" fillId="4" fontId="27" numFmtId="4" xfId="0" applyAlignment="1" applyBorder="1" applyFont="1" applyNumberFormat="1">
      <alignment horizontal="center" shrinkToFit="0" vertical="center" wrapText="0"/>
    </xf>
    <xf borderId="6" fillId="6" fontId="5" numFmtId="166" xfId="0" applyAlignment="1" applyBorder="1" applyFont="1" applyNumberFormat="1">
      <alignment horizontal="right" shrinkToFit="0" vertical="bottom" wrapText="0"/>
    </xf>
    <xf borderId="19" fillId="0" fontId="2" numFmtId="0" xfId="0" applyBorder="1" applyFont="1"/>
    <xf borderId="5" fillId="6" fontId="13" numFmtId="0" xfId="0" applyAlignment="1" applyBorder="1" applyFont="1">
      <alignment shrinkToFit="0" vertical="bottom" wrapText="0"/>
    </xf>
    <xf borderId="5" fillId="6" fontId="13" numFmtId="2" xfId="0" applyAlignment="1" applyBorder="1" applyFont="1" applyNumberFormat="1">
      <alignment shrinkToFit="0" vertical="bottom" wrapText="0"/>
    </xf>
    <xf borderId="5" fillId="6" fontId="13" numFmtId="4" xfId="0" applyAlignment="1" applyBorder="1" applyFont="1" applyNumberFormat="1">
      <alignment shrinkToFit="0" vertical="bottom" wrapText="0"/>
    </xf>
    <xf borderId="5" fillId="6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31" fontId="23" numFmtId="0" xfId="0" applyAlignment="1" applyBorder="1" applyFill="1" applyFont="1">
      <alignment horizontal="center" readingOrder="0" shrinkToFit="0" vertical="center" wrapText="0"/>
    </xf>
    <xf borderId="1" fillId="22" fontId="24" numFmtId="166" xfId="0" applyAlignment="1" applyBorder="1" applyFont="1" applyNumberFormat="1">
      <alignment horizontal="center" shrinkToFit="0" vertical="center" wrapText="0"/>
    </xf>
    <xf borderId="11" fillId="31" fontId="4" numFmtId="166" xfId="0" applyAlignment="1" applyBorder="1" applyFont="1" applyNumberFormat="1">
      <alignment horizontal="center" shrinkToFit="0" vertical="bottom" wrapText="1"/>
    </xf>
    <xf borderId="11" fillId="31" fontId="4" numFmtId="0" xfId="0" applyAlignment="1" applyBorder="1" applyFont="1">
      <alignment horizontal="center" shrinkToFit="0" vertical="bottom" wrapText="1"/>
    </xf>
    <xf borderId="11" fillId="31" fontId="4" numFmtId="0" xfId="0" applyAlignment="1" applyBorder="1" applyFont="1">
      <alignment horizontal="center" shrinkToFit="0" vertical="bottom" wrapText="0"/>
    </xf>
    <xf borderId="5" fillId="4" fontId="27" numFmtId="166" xfId="0" applyAlignment="1" applyBorder="1" applyFont="1" applyNumberFormat="1">
      <alignment horizontal="center" readingOrder="0" shrinkToFit="0" vertical="bottom" wrapText="0"/>
    </xf>
    <xf borderId="5" fillId="4" fontId="27" numFmtId="0" xfId="0" applyAlignment="1" applyBorder="1" applyFont="1">
      <alignment readingOrder="0" shrinkToFit="0" vertical="bottom" wrapText="0"/>
    </xf>
    <xf borderId="5" fillId="4" fontId="27" numFmtId="0" xfId="0" applyAlignment="1" applyBorder="1" applyFont="1">
      <alignment shrinkToFit="0" vertical="bottom" wrapText="0"/>
    </xf>
    <xf borderId="5" fillId="4" fontId="29" numFmtId="2" xfId="0" applyAlignment="1" applyBorder="1" applyFont="1" applyNumberFormat="1">
      <alignment horizontal="center" shrinkToFit="0" vertical="bottom" wrapText="1"/>
    </xf>
    <xf borderId="5" fillId="4" fontId="27" numFmtId="4" xfId="0" applyAlignment="1" applyBorder="1" applyFont="1" applyNumberFormat="1">
      <alignment horizontal="center" shrinkToFit="0" vertical="bottom" wrapText="0"/>
    </xf>
    <xf borderId="5" fillId="4" fontId="27" numFmtId="0" xfId="0" applyAlignment="1" applyBorder="1" applyFont="1">
      <alignment shrinkToFit="0" vertical="bottom" wrapText="1"/>
    </xf>
    <xf borderId="0" fillId="0" fontId="30" numFmtId="0" xfId="0" applyAlignment="1" applyFont="1">
      <alignment shrinkToFit="0" vertical="bottom" wrapText="0"/>
    </xf>
    <xf borderId="5" fillId="10" fontId="27" numFmtId="166" xfId="0" applyAlignment="1" applyBorder="1" applyFont="1" applyNumberFormat="1">
      <alignment horizontal="center" readingOrder="0" shrinkToFit="0" vertical="bottom" wrapText="0"/>
    </xf>
    <xf borderId="5" fillId="10" fontId="27" numFmtId="0" xfId="0" applyAlignment="1" applyBorder="1" applyFont="1">
      <alignment readingOrder="0" shrinkToFit="0" vertical="center" wrapText="0"/>
    </xf>
    <xf borderId="5" fillId="10" fontId="27" numFmtId="0" xfId="0" applyAlignment="1" applyBorder="1" applyFont="1">
      <alignment shrinkToFit="0" vertical="center" wrapText="0"/>
    </xf>
    <xf borderId="5" fillId="10" fontId="28" numFmtId="2" xfId="0" applyAlignment="1" applyBorder="1" applyFont="1" applyNumberFormat="1">
      <alignment shrinkToFit="0" vertical="bottom" wrapText="0"/>
    </xf>
    <xf borderId="5" fillId="10" fontId="27" numFmtId="4" xfId="0" applyAlignment="1" applyBorder="1" applyFont="1" applyNumberFormat="1">
      <alignment horizontal="center" shrinkToFit="0" vertical="bottom" wrapText="0"/>
    </xf>
    <xf borderId="5" fillId="10" fontId="27" numFmtId="0" xfId="0" applyAlignment="1" applyBorder="1" applyFont="1">
      <alignment shrinkToFit="0" vertical="center" wrapText="1"/>
    </xf>
    <xf borderId="6" fillId="31" fontId="5" numFmtId="166" xfId="0" applyAlignment="1" applyBorder="1" applyFont="1" applyNumberFormat="1">
      <alignment horizontal="right" shrinkToFit="0" vertical="center" wrapText="0"/>
    </xf>
    <xf borderId="5" fillId="31" fontId="13" numFmtId="0" xfId="0" applyAlignment="1" applyBorder="1" applyFont="1">
      <alignment shrinkToFit="0" vertical="bottom" wrapText="0"/>
    </xf>
    <xf borderId="5" fillId="31" fontId="13" numFmtId="2" xfId="0" applyAlignment="1" applyBorder="1" applyFont="1" applyNumberFormat="1">
      <alignment shrinkToFit="0" vertical="bottom" wrapText="0"/>
    </xf>
    <xf borderId="5" fillId="31" fontId="13" numFmtId="4" xfId="0" applyAlignment="1" applyBorder="1" applyFont="1" applyNumberFormat="1">
      <alignment shrinkToFit="0" vertical="bottom" wrapText="0"/>
    </xf>
    <xf borderId="5" fillId="31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1" fillId="3" fontId="23" numFmtId="0" xfId="0" applyAlignment="1" applyBorder="1" applyFont="1">
      <alignment horizontal="center" readingOrder="0" shrinkToFit="0" vertical="center" wrapText="0"/>
    </xf>
    <xf borderId="11" fillId="3" fontId="4" numFmtId="166" xfId="0" applyAlignment="1" applyBorder="1" applyFont="1" applyNumberFormat="1">
      <alignment horizontal="center" shrinkToFit="0" vertical="bottom" wrapText="1"/>
    </xf>
    <xf borderId="11" fillId="3" fontId="4" numFmtId="0" xfId="0" applyAlignment="1" applyBorder="1" applyFont="1">
      <alignment horizontal="center" shrinkToFit="0" vertical="bottom" wrapText="1"/>
    </xf>
    <xf borderId="11" fillId="3" fontId="4" numFmtId="0" xfId="0" applyAlignment="1" applyBorder="1" applyFont="1">
      <alignment horizontal="center" shrinkToFit="0" vertical="bottom" wrapText="0"/>
    </xf>
    <xf borderId="5" fillId="5" fontId="27" numFmtId="166" xfId="0" applyAlignment="1" applyBorder="1" applyFont="1" applyNumberFormat="1">
      <alignment horizontal="center" readingOrder="0" shrinkToFit="0" vertical="center" wrapText="0"/>
    </xf>
    <xf borderId="5" fillId="5" fontId="27" numFmtId="0" xfId="0" applyAlignment="1" applyBorder="1" applyFont="1">
      <alignment readingOrder="0" shrinkToFit="0" vertical="center" wrapText="0"/>
    </xf>
    <xf borderId="5" fillId="5" fontId="27" numFmtId="0" xfId="0" applyAlignment="1" applyBorder="1" applyFont="1">
      <alignment shrinkToFit="0" vertical="center" wrapText="0"/>
    </xf>
    <xf borderId="4" fillId="5" fontId="18" numFmtId="0" xfId="0" applyAlignment="1" applyBorder="1" applyFont="1">
      <alignment shrinkToFit="0" vertical="bottom" wrapText="0"/>
    </xf>
    <xf borderId="5" fillId="5" fontId="28" numFmtId="2" xfId="0" applyAlignment="1" applyBorder="1" applyFont="1" applyNumberFormat="1">
      <alignment shrinkToFit="0" vertical="bottom" wrapText="0"/>
    </xf>
    <xf borderId="5" fillId="5" fontId="27" numFmtId="4" xfId="0" applyAlignment="1" applyBorder="1" applyFont="1" applyNumberFormat="1">
      <alignment horizontal="center" shrinkToFit="0" vertical="bottom" wrapText="0"/>
    </xf>
    <xf borderId="5" fillId="4" fontId="28" numFmtId="2" xfId="0" applyAlignment="1" applyBorder="1" applyFont="1" applyNumberFormat="1">
      <alignment shrinkToFit="0" vertical="bottom" wrapText="0"/>
    </xf>
    <xf borderId="5" fillId="4" fontId="27" numFmtId="0" xfId="0" applyAlignment="1" applyBorder="1" applyFont="1">
      <alignment shrinkToFit="0" vertical="center" wrapText="1"/>
    </xf>
    <xf borderId="6" fillId="3" fontId="5" numFmtId="166" xfId="0" applyAlignment="1" applyBorder="1" applyFont="1" applyNumberFormat="1">
      <alignment horizontal="right" shrinkToFit="0" vertical="center" wrapText="0"/>
    </xf>
    <xf borderId="5" fillId="3" fontId="13" numFmtId="0" xfId="0" applyAlignment="1" applyBorder="1" applyFont="1">
      <alignment shrinkToFit="0" vertical="center" wrapText="0"/>
    </xf>
    <xf borderId="5" fillId="3" fontId="13" numFmtId="2" xfId="0" applyAlignment="1" applyBorder="1" applyFont="1" applyNumberFormat="1">
      <alignment shrinkToFit="0" vertical="center" wrapText="0"/>
    </xf>
    <xf borderId="5" fillId="3" fontId="13" numFmtId="4" xfId="0" applyAlignment="1" applyBorder="1" applyFont="1" applyNumberFormat="1">
      <alignment shrinkToFit="0" vertical="center" wrapText="0"/>
    </xf>
    <xf borderId="5" fillId="3" fontId="3" numFmtId="0" xfId="0" applyAlignment="1" applyBorder="1" applyFont="1">
      <alignment shrinkToFit="0" vertical="bottom" wrapText="0"/>
    </xf>
    <xf borderId="1" fillId="11" fontId="23" numFmtId="166" xfId="0" applyAlignment="1" applyBorder="1" applyFont="1" applyNumberFormat="1">
      <alignment horizontal="center" shrinkToFit="0" vertical="center" wrapText="0"/>
    </xf>
    <xf borderId="11" fillId="11" fontId="4" numFmtId="166" xfId="0" applyAlignment="1" applyBorder="1" applyFont="1" applyNumberFormat="1">
      <alignment horizontal="center" shrinkToFit="0" vertical="bottom" wrapText="1"/>
    </xf>
    <xf borderId="11" fillId="11" fontId="4" numFmtId="0" xfId="0" applyAlignment="1" applyBorder="1" applyFont="1">
      <alignment horizontal="center" shrinkToFit="0" vertical="bottom" wrapText="1"/>
    </xf>
    <xf borderId="11" fillId="11" fontId="4" numFmtId="0" xfId="0" applyAlignment="1" applyBorder="1" applyFont="1">
      <alignment horizontal="center" shrinkToFit="0" vertical="bottom" wrapText="0"/>
    </xf>
    <xf borderId="5" fillId="12" fontId="27" numFmtId="166" xfId="0" applyAlignment="1" applyBorder="1" applyFont="1" applyNumberFormat="1">
      <alignment horizontal="center" shrinkToFit="0" vertical="center" wrapText="0"/>
    </xf>
    <xf borderId="5" fillId="12" fontId="27" numFmtId="0" xfId="0" applyAlignment="1" applyBorder="1" applyFont="1">
      <alignment readingOrder="0" shrinkToFit="0" vertical="center" wrapText="0"/>
    </xf>
    <xf borderId="5" fillId="12" fontId="27" numFmtId="0" xfId="0" applyAlignment="1" applyBorder="1" applyFont="1">
      <alignment shrinkToFit="0" vertical="center" wrapText="0"/>
    </xf>
    <xf borderId="5" fillId="12" fontId="28" numFmtId="2" xfId="0" applyAlignment="1" applyBorder="1" applyFont="1" applyNumberFormat="1">
      <alignment shrinkToFit="0" vertical="bottom" wrapText="0"/>
    </xf>
    <xf borderId="5" fillId="12" fontId="27" numFmtId="4" xfId="0" applyAlignment="1" applyBorder="1" applyFont="1" applyNumberFormat="1">
      <alignment horizontal="center" shrinkToFit="0" vertical="bottom" wrapText="0"/>
    </xf>
    <xf borderId="5" fillId="4" fontId="27" numFmtId="166" xfId="0" applyAlignment="1" applyBorder="1" applyFont="1" applyNumberFormat="1">
      <alignment horizontal="center" shrinkToFit="0" vertical="center" wrapText="0"/>
    </xf>
    <xf borderId="6" fillId="11" fontId="5" numFmtId="166" xfId="0" applyAlignment="1" applyBorder="1" applyFont="1" applyNumberFormat="1">
      <alignment horizontal="right" shrinkToFit="0" vertical="center" wrapText="0"/>
    </xf>
    <xf borderId="5" fillId="11" fontId="13" numFmtId="0" xfId="0" applyAlignment="1" applyBorder="1" applyFont="1">
      <alignment shrinkToFit="0" vertical="bottom" wrapText="0"/>
    </xf>
    <xf borderId="5" fillId="11" fontId="13" numFmtId="2" xfId="0" applyAlignment="1" applyBorder="1" applyFont="1" applyNumberFormat="1">
      <alignment shrinkToFit="0" vertical="bottom" wrapText="0"/>
    </xf>
    <xf borderId="5" fillId="11" fontId="13" numFmtId="4" xfId="0" applyAlignment="1" applyBorder="1" applyFont="1" applyNumberFormat="1">
      <alignment shrinkToFit="0" vertical="bottom" wrapText="0"/>
    </xf>
    <xf borderId="5" fillId="11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57"/>
    <col customWidth="1" min="2" max="2" width="16.0"/>
    <col customWidth="1" min="3" max="3" width="26.0"/>
    <col customWidth="1" min="4" max="4" width="22.0"/>
    <col customWidth="1" min="5" max="5" width="16.0"/>
    <col customWidth="1" min="6" max="10" width="14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7.7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8.0" customHeight="1">
      <c r="A3" s="7" t="s">
        <v>11</v>
      </c>
      <c r="B3" s="8"/>
      <c r="C3" s="8"/>
      <c r="D3" s="8"/>
      <c r="E3" s="8"/>
      <c r="F3" s="8"/>
      <c r="G3" s="8"/>
      <c r="H3" s="8"/>
      <c r="I3" s="8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8.0" customHeight="1">
      <c r="A4" s="10">
        <v>1.0</v>
      </c>
      <c r="B4" s="11" t="s">
        <v>12</v>
      </c>
      <c r="C4" s="12" t="s">
        <v>13</v>
      </c>
      <c r="D4" s="12" t="s">
        <v>14</v>
      </c>
      <c r="E4" s="13">
        <f>IFERROR(SUMIF(Terminologists!$B$4:$B$5,B4,Terminologists!$G$4:$G$5),0)</f>
        <v>1.25</v>
      </c>
      <c r="F4" s="13">
        <f>IFERROR(SUMIF(Terminologists!$B$4:$B$5,B4,Terminologists!$H$4:$H$5),0)</f>
        <v>25</v>
      </c>
      <c r="G4" s="14">
        <f>IFERROR(SUMIF(Translation!$B$4:$B$7,B4,Translation!$F$4:$F$6),0)</f>
        <v>500</v>
      </c>
      <c r="H4" s="13">
        <f>IFERROR(SUMIF(Translation!$B$4:$B$7,B4,Translation!$H$4:$H$6),0)</f>
        <v>20</v>
      </c>
      <c r="I4" s="13">
        <f>SUMIF(LQA!$B$4:$B$38,TEXT(B4,"@"),LQA!$H$4:$H$38)</f>
        <v>0</v>
      </c>
      <c r="J4" s="15">
        <f t="shared" ref="J4:J5" si="1">IFERROR(F4,0)+IFERROR(H4,0)</f>
        <v>45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0" customHeight="1">
      <c r="A5" s="16">
        <v>2.0</v>
      </c>
      <c r="B5" s="17" t="s">
        <v>15</v>
      </c>
      <c r="C5" s="18" t="s">
        <v>16</v>
      </c>
      <c r="D5" s="18" t="s">
        <v>14</v>
      </c>
      <c r="E5" s="19">
        <f>IFERROR(SUMIF(Terminologists!$B$4:$B$5,B5,Terminologists!$G$4:$G$5),0)</f>
        <v>1.25</v>
      </c>
      <c r="F5" s="19">
        <f>IFERROR(SUMIF(Terminologists!$B$4:$B$5,B5,Terminologists!$H$4:$H$5),0)</f>
        <v>25</v>
      </c>
      <c r="G5" s="20">
        <f>IFERROR(SUMIF(Translation!$B$4:$B$7,B5,Translation!$F$4:$F$6),0)</f>
        <v>0</v>
      </c>
      <c r="H5" s="19">
        <f>IFERROR(SUMIF(Translation!$B$4:$B$7,B5,Translation!$H$4:$H$6),0)</f>
        <v>0</v>
      </c>
      <c r="I5" s="19">
        <f>SUMIF(LQA!$B$4:$B$38,TEXT(B5,"@"),LQA!$H$4:$H$38)</f>
        <v>10</v>
      </c>
      <c r="J5" s="21">
        <f t="shared" si="1"/>
        <v>25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8.0" customHeight="1">
      <c r="A6" s="22" t="s">
        <v>17</v>
      </c>
      <c r="B6" s="8"/>
      <c r="C6" s="8"/>
      <c r="D6" s="9"/>
      <c r="E6" s="23">
        <f t="shared" ref="E6:H6" si="2">SUM(E4:E5)</f>
        <v>2.5</v>
      </c>
      <c r="F6" s="23">
        <f t="shared" si="2"/>
        <v>50</v>
      </c>
      <c r="G6" s="24">
        <f t="shared" si="2"/>
        <v>500</v>
      </c>
      <c r="H6" s="23">
        <f t="shared" si="2"/>
        <v>20</v>
      </c>
      <c r="I6" s="23"/>
      <c r="J6" s="23">
        <f>SUM(J4:J5)</f>
        <v>70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8.0" customHeight="1">
      <c r="A7" s="25"/>
      <c r="B7" s="2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8.0" customHeight="1">
      <c r="A8" s="26" t="s">
        <v>18</v>
      </c>
      <c r="B8" s="8"/>
      <c r="C8" s="8"/>
      <c r="D8" s="8"/>
      <c r="E8" s="8"/>
      <c r="F8" s="8"/>
      <c r="G8" s="8"/>
      <c r="H8" s="8"/>
      <c r="I8" s="8"/>
      <c r="J8" s="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8.0" customHeight="1">
      <c r="A9" s="27">
        <v>3.0</v>
      </c>
      <c r="B9" s="11" t="s">
        <v>19</v>
      </c>
      <c r="C9" s="12" t="s">
        <v>20</v>
      </c>
      <c r="D9" s="12" t="s">
        <v>21</v>
      </c>
      <c r="E9" s="13">
        <f>IFERROR(SUMIF('Language Analysts'!$B$4:$B$5,B9,'Language Analysts'!$G$4:$G$5),0)</f>
        <v>1</v>
      </c>
      <c r="F9" s="13">
        <f>IFERROR(SUMIF('Language Analysts'!$B$4:$B$5,B9,'Language Analysts'!$H$4:$H$5),0)</f>
        <v>20</v>
      </c>
      <c r="G9" s="14">
        <f>IFERROR(SUMIF(Translation!$B$4:$B$7,B9,Translation!$F$4:$F$6),0)</f>
        <v>500</v>
      </c>
      <c r="H9" s="13">
        <f>IFERROR(SUMIF(Translation!$B$4:$B$7,B9,Translation!$H$4:$H$6),0)</f>
        <v>20</v>
      </c>
      <c r="I9" s="28">
        <f>SUMIF(LQA!$B$4:$B$38,TEXT(B9,"@"),LQA!$H$4:$H$38)</f>
        <v>0</v>
      </c>
      <c r="J9" s="15">
        <f t="shared" ref="J9:J10" si="3">IFERROR(F9,0)+IFERROR(H9,0)+IFERROR(I9,0)</f>
        <v>40</v>
      </c>
      <c r="K9" s="29"/>
      <c r="L9" s="30"/>
      <c r="M9" s="30"/>
      <c r="N9" s="29"/>
      <c r="O9" s="30"/>
      <c r="P9" s="30"/>
      <c r="Q9" s="5"/>
      <c r="R9" s="30"/>
      <c r="S9" s="30"/>
      <c r="T9" s="30"/>
      <c r="U9" s="30"/>
      <c r="V9" s="5"/>
      <c r="W9" s="5"/>
      <c r="X9" s="5"/>
      <c r="Y9" s="5"/>
      <c r="Z9" s="5"/>
      <c r="AA9" s="5"/>
    </row>
    <row r="10" ht="18.0" customHeight="1">
      <c r="A10" s="31">
        <v>4.0</v>
      </c>
      <c r="B10" s="32" t="s">
        <v>22</v>
      </c>
      <c r="C10" s="33" t="s">
        <v>23</v>
      </c>
      <c r="D10" s="33" t="s">
        <v>21</v>
      </c>
      <c r="E10" s="34">
        <f>IFERROR(SUMIF('Language Analysts'!$B$4:$B$5,B10,'Language Analysts'!$G$4:$G$5),0)</f>
        <v>1</v>
      </c>
      <c r="F10" s="34">
        <f>IFERROR(SUMIF('Language Analysts'!$B$4:$B$5,B10,'Language Analysts'!$H$4:$H$5),0)</f>
        <v>20</v>
      </c>
      <c r="G10" s="35">
        <f>IFERROR(SUMIF(Translation!$B$4:$B$7,B10,Translation!$F$4:$F$6),0)</f>
        <v>0</v>
      </c>
      <c r="H10" s="36">
        <f>IFERROR(SUMIF(Translation!$B$4:$B$7,B10,Translation!$H$4:$H$6),0)</f>
        <v>0</v>
      </c>
      <c r="I10" s="37">
        <f>SUMIF(LQA!$B$4:$B$38,TEXT(B10,"@"),LQA!$H$4:$H$38)</f>
        <v>10</v>
      </c>
      <c r="J10" s="38">
        <f t="shared" si="3"/>
        <v>30</v>
      </c>
      <c r="K10" s="29"/>
      <c r="L10" s="5"/>
      <c r="M10" s="29"/>
      <c r="N10" s="29"/>
      <c r="O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8.0" customHeight="1">
      <c r="A11" s="39" t="s">
        <v>24</v>
      </c>
      <c r="B11" s="8"/>
      <c r="C11" s="8"/>
      <c r="D11" s="9"/>
      <c r="E11" s="40">
        <f t="shared" ref="E11:J11" si="4">SUM(E9:E10)</f>
        <v>2</v>
      </c>
      <c r="F11" s="40">
        <f t="shared" si="4"/>
        <v>40</v>
      </c>
      <c r="G11" s="41">
        <f t="shared" si="4"/>
        <v>500</v>
      </c>
      <c r="H11" s="40">
        <f t="shared" si="4"/>
        <v>20</v>
      </c>
      <c r="I11" s="40">
        <f t="shared" si="4"/>
        <v>10</v>
      </c>
      <c r="J11" s="40">
        <f t="shared" si="4"/>
        <v>70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8.0" customHeight="1">
      <c r="A12" s="25"/>
      <c r="B12" s="2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8.0" customHeight="1">
      <c r="A13" s="42" t="s">
        <v>25</v>
      </c>
      <c r="B13" s="8"/>
      <c r="C13" s="8"/>
      <c r="D13" s="8"/>
      <c r="E13" s="8"/>
      <c r="F13" s="8"/>
      <c r="G13" s="8"/>
      <c r="H13" s="8"/>
      <c r="I13" s="8"/>
      <c r="J13" s="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8.0" customHeight="1">
      <c r="A14" s="27">
        <v>5.0</v>
      </c>
      <c r="B14" s="11" t="s">
        <v>26</v>
      </c>
      <c r="C14" s="12" t="s">
        <v>27</v>
      </c>
      <c r="D14" s="12" t="s">
        <v>28</v>
      </c>
      <c r="E14" s="13">
        <f>IFERROR(SUMIF('Eng &amp; Testing'!$B$4:$B$5,B14,'Eng &amp; Testing'!$G$4:$G$5),0)</f>
        <v>0.5</v>
      </c>
      <c r="F14" s="13">
        <f>IFERROR(SUMIF('Eng &amp; Testing'!$B$4:$B$5,B14,'Eng &amp; Testing'!$H$4:$H$5),0)</f>
        <v>10</v>
      </c>
      <c r="G14" s="14">
        <f>IFERROR(SUMIF(Translation!$B$4:$B$7,B14,Translation!$F$4:$F$6),0)</f>
        <v>1000</v>
      </c>
      <c r="H14" s="13">
        <f>IFERROR(SUMIF(Translation!$B$4:$B$7,B14,Translation!$H$4:$H$6),0)</f>
        <v>40</v>
      </c>
      <c r="I14" s="13">
        <f>IFERROR(SUMIF(LQA!$B$4:$B$38,B14,LQA!$H$4:$H$38),0)</f>
        <v>0</v>
      </c>
      <c r="J14" s="15">
        <f t="shared" ref="J14:J15" si="5">IFERROR(F14,0)+IFERROR(H14,0)+IFERROR(I14,0)</f>
        <v>50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8.0" customHeight="1">
      <c r="A15" s="43">
        <v>6.0</v>
      </c>
      <c r="B15" s="44" t="s">
        <v>29</v>
      </c>
      <c r="C15" s="45" t="s">
        <v>30</v>
      </c>
      <c r="D15" s="45" t="s">
        <v>28</v>
      </c>
      <c r="E15" s="46">
        <f>IFERROR(SUMIF('Eng &amp; Testing'!$B$4:$B$5,B15,'Eng &amp; Testing'!$G$4:$G$5),0)</f>
        <v>0.5</v>
      </c>
      <c r="F15" s="46">
        <f>IFERROR(SUMIF('Eng &amp; Testing'!$B$4:$B$5,B15,'Eng &amp; Testing'!$H$4:$H$5),0)</f>
        <v>10</v>
      </c>
      <c r="G15" s="47">
        <f>IFERROR(SUMIF(Translation!$B$4:$B$7,B15,Translation!$F$4:$F$6),0)</f>
        <v>0</v>
      </c>
      <c r="H15" s="46">
        <f>IFERROR(SUMIF(Translation!$B$4:$B$7,B15,Translation!$H$4:$H$6),0)</f>
        <v>0</v>
      </c>
      <c r="I15" s="46">
        <f>IFERROR(SUMIF(LQA!$B$4:$B$38,B15,LQA!$H$4:$H$38),0)</f>
        <v>10</v>
      </c>
      <c r="J15" s="48">
        <f t="shared" si="5"/>
        <v>20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8.0" customHeight="1">
      <c r="A16" s="49" t="s">
        <v>31</v>
      </c>
      <c r="B16" s="8"/>
      <c r="C16" s="8"/>
      <c r="D16" s="9"/>
      <c r="E16" s="50">
        <f t="shared" ref="E16:J16" si="6">SUM(E14:E15)</f>
        <v>1</v>
      </c>
      <c r="F16" s="50">
        <f t="shared" si="6"/>
        <v>20</v>
      </c>
      <c r="G16" s="51">
        <f t="shared" si="6"/>
        <v>1000</v>
      </c>
      <c r="H16" s="50">
        <f t="shared" si="6"/>
        <v>40</v>
      </c>
      <c r="I16" s="50">
        <f t="shared" si="6"/>
        <v>10</v>
      </c>
      <c r="J16" s="50">
        <f t="shared" si="6"/>
        <v>70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8.0" customHeight="1">
      <c r="A17" s="25"/>
      <c r="B17" s="2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8.0" customHeight="1">
      <c r="A18" s="52" t="s">
        <v>32</v>
      </c>
      <c r="B18" s="8"/>
      <c r="C18" s="8"/>
      <c r="D18" s="8"/>
      <c r="E18" s="8"/>
      <c r="F18" s="8"/>
      <c r="G18" s="8"/>
      <c r="H18" s="8"/>
      <c r="I18" s="8"/>
      <c r="J18" s="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9.5" customHeight="1">
      <c r="A19" s="27">
        <v>7.0</v>
      </c>
      <c r="B19" s="11" t="s">
        <v>33</v>
      </c>
      <c r="C19" s="12" t="s">
        <v>34</v>
      </c>
      <c r="D19" s="12" t="s">
        <v>35</v>
      </c>
      <c r="E19" s="13">
        <f>IFERROR(SUMIF('Project Management'!B4:B5,B19,'Project Management'!$G$4:$G$5),0)</f>
        <v>1.5</v>
      </c>
      <c r="F19" s="13">
        <f>IFERROR(SUMIF('Project Management'!B4:B5,B19,'Project Management'!H4:H5),0)</f>
        <v>30</v>
      </c>
      <c r="G19" s="14">
        <f>IFERROR(SUMIF(Translation!$B$4:$B$7,B19,Translation!$F$4:$F$6),0)</f>
        <v>1000</v>
      </c>
      <c r="H19" s="13">
        <f>IFERROR(SUMIF(Translation!$B$4:$B$7,B19,Translation!$H$4:$H$6),0)</f>
        <v>40</v>
      </c>
      <c r="I19" s="13">
        <f>IFERROR(SUMIF(LQA!$B$4:$B$38,B19,LQA!$H$4:$H$38),0)</f>
        <v>0</v>
      </c>
      <c r="J19" s="15">
        <f t="shared" ref="J19:J20" si="7">IFERROR(F19,0)+IFERROR(H19,0)+IFERROR(I19,0)</f>
        <v>70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9.5" customHeight="1">
      <c r="A20" s="53">
        <v>8.0</v>
      </c>
      <c r="B20" s="54" t="s">
        <v>36</v>
      </c>
      <c r="C20" s="55" t="s">
        <v>37</v>
      </c>
      <c r="D20" s="56" t="s">
        <v>35</v>
      </c>
      <c r="E20" s="13">
        <f>IFERROR(SUMIF('Project Management'!B5:B6,B20,'Project Management'!$G$4:$G$5),0)</f>
        <v>1.5</v>
      </c>
      <c r="F20" s="13">
        <f>IFERROR(SUMIF('Project Management'!B5:B6,B20,'Project Management'!H5:H6),0)</f>
        <v>30</v>
      </c>
      <c r="G20" s="57">
        <f>IFERROR(SUMIF(Translation!$B$4:$B$6,B20,Translation!$F$4:$F$6),0)</f>
        <v>0</v>
      </c>
      <c r="H20" s="58">
        <f>IFERROR(SUMIF(Translation!$B$4:$B$7,B20,Translation!$H$4:$H$6),0)</f>
        <v>0</v>
      </c>
      <c r="I20" s="58">
        <f>IFERROR(SUMIF(LQA!$B$4:$B$38,B20,LQA!$H$4:$H$38),0)</f>
        <v>10</v>
      </c>
      <c r="J20" s="59">
        <f t="shared" si="7"/>
        <v>40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60" t="s">
        <v>38</v>
      </c>
      <c r="B21" s="8"/>
      <c r="C21" s="8"/>
      <c r="D21" s="9"/>
      <c r="E21" s="61">
        <f t="shared" ref="E21:J21" si="8">SUM(E19)</f>
        <v>1.5</v>
      </c>
      <c r="F21" s="61">
        <f t="shared" si="8"/>
        <v>30</v>
      </c>
      <c r="G21" s="62">
        <f t="shared" si="8"/>
        <v>1000</v>
      </c>
      <c r="H21" s="61">
        <f t="shared" si="8"/>
        <v>40</v>
      </c>
      <c r="I21" s="61">
        <f t="shared" si="8"/>
        <v>0</v>
      </c>
      <c r="J21" s="61">
        <f t="shared" si="8"/>
        <v>70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25"/>
      <c r="B22" s="2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1.75" customHeight="1">
      <c r="A23" s="63" t="s">
        <v>39</v>
      </c>
      <c r="B23" s="8"/>
      <c r="C23" s="8"/>
      <c r="D23" s="9"/>
      <c r="E23" s="64">
        <f t="shared" ref="E23:H23" si="9">E6+E11+E16+E21</f>
        <v>7</v>
      </c>
      <c r="F23" s="64">
        <f t="shared" si="9"/>
        <v>140</v>
      </c>
      <c r="G23" s="65">
        <f t="shared" si="9"/>
        <v>3000</v>
      </c>
      <c r="H23" s="66">
        <f t="shared" si="9"/>
        <v>120</v>
      </c>
      <c r="I23" s="66">
        <f>I21+I16+I11</f>
        <v>20</v>
      </c>
      <c r="J23" s="67">
        <f>J6+J11+J16+J21</f>
        <v>280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5.5" customHeight="1">
      <c r="A24" s="68"/>
      <c r="B24" s="68"/>
      <c r="C24" s="68"/>
      <c r="D24" s="68"/>
      <c r="E24" s="68"/>
      <c r="F24" s="68"/>
      <c r="G24" s="68"/>
      <c r="H24" s="68"/>
      <c r="I24" s="68"/>
      <c r="J24" s="6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5.5" customHeight="1">
      <c r="A25" s="70" t="s">
        <v>40</v>
      </c>
      <c r="B25" s="2"/>
      <c r="C25" s="2"/>
      <c r="D25" s="2"/>
      <c r="E25" s="2"/>
      <c r="F25" s="2"/>
      <c r="G25" s="2"/>
      <c r="H25" s="3"/>
      <c r="I25" s="71"/>
      <c r="J25" s="72">
        <v>5750.0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31.5" customHeight="1">
      <c r="A26" s="25"/>
      <c r="B26" s="2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7.0" customHeight="1">
      <c r="A27" s="73" t="s">
        <v>41</v>
      </c>
      <c r="B27" s="2"/>
      <c r="C27" s="2"/>
      <c r="D27" s="2"/>
      <c r="E27" s="2"/>
      <c r="F27" s="2"/>
      <c r="G27" s="2"/>
      <c r="H27" s="3"/>
      <c r="I27" s="74"/>
      <c r="J27" s="75">
        <f>J25-J23</f>
        <v>5470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34.5" customHeight="1">
      <c r="A28" s="25"/>
      <c r="B28" s="2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32.25" customHeight="1">
      <c r="A29" s="76" t="s">
        <v>42</v>
      </c>
      <c r="B29" s="76" t="s">
        <v>43</v>
      </c>
      <c r="C29" s="76" t="s">
        <v>44</v>
      </c>
      <c r="D29" s="76" t="s">
        <v>45</v>
      </c>
      <c r="E29" s="76" t="s">
        <v>46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40.5" customHeight="1">
      <c r="A30" s="77" t="s">
        <v>47</v>
      </c>
      <c r="B30" s="78">
        <f>E11</f>
        <v>2</v>
      </c>
      <c r="C30" s="79">
        <f>J11</f>
        <v>70</v>
      </c>
      <c r="D30" s="80">
        <f>IFERROR(B30/E23,0)</f>
        <v>0.2857142857</v>
      </c>
      <c r="E30" s="80">
        <f t="shared" ref="E30:E33" si="10">IFERROR(C30/$J$23,0)</f>
        <v>0.25</v>
      </c>
      <c r="F30" s="5"/>
      <c r="G30" s="5"/>
      <c r="H30" s="8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40.5" customHeight="1">
      <c r="A31" s="77" t="s">
        <v>14</v>
      </c>
      <c r="B31" s="78">
        <f>E6</f>
        <v>2.5</v>
      </c>
      <c r="C31" s="79">
        <f>J6</f>
        <v>70</v>
      </c>
      <c r="D31" s="80">
        <f>IFERROR(B31/E23,0)</f>
        <v>0.3571428571</v>
      </c>
      <c r="E31" s="80">
        <f t="shared" si="10"/>
        <v>0.25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45.0" customHeight="1">
      <c r="A32" s="77" t="s">
        <v>28</v>
      </c>
      <c r="B32" s="78">
        <f>E16</f>
        <v>1</v>
      </c>
      <c r="C32" s="79">
        <f>J16</f>
        <v>70</v>
      </c>
      <c r="D32" s="80">
        <f>IFERROR(B32/E23,0)</f>
        <v>0.1428571429</v>
      </c>
      <c r="E32" s="80">
        <f t="shared" si="10"/>
        <v>0.25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63.75" customHeight="1">
      <c r="A33" s="77" t="s">
        <v>35</v>
      </c>
      <c r="B33" s="78">
        <f>E21</f>
        <v>1.5</v>
      </c>
      <c r="C33" s="79">
        <f>J21</f>
        <v>70</v>
      </c>
      <c r="D33" s="80">
        <f>IFERROR(B33/E23,0)</f>
        <v>0.2142857143</v>
      </c>
      <c r="E33" s="80">
        <f t="shared" si="10"/>
        <v>0.25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25"/>
      <c r="B34" s="2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25"/>
      <c r="B35" s="2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25"/>
      <c r="B36" s="2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25"/>
      <c r="B37" s="2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25"/>
      <c r="B38" s="2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25"/>
      <c r="B39" s="2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25"/>
      <c r="B40" s="2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25"/>
      <c r="B41" s="2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25"/>
      <c r="B42" s="2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25"/>
      <c r="B43" s="2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25"/>
      <c r="B44" s="2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25"/>
      <c r="B45" s="2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25"/>
      <c r="B46" s="2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25"/>
      <c r="B47" s="2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25"/>
      <c r="B48" s="2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25"/>
      <c r="B49" s="2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25"/>
      <c r="B50" s="2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25"/>
      <c r="B51" s="2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25"/>
      <c r="B52" s="2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25"/>
      <c r="B53" s="2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25"/>
      <c r="B54" s="2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25"/>
      <c r="B55" s="2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25"/>
      <c r="B56" s="2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25"/>
      <c r="B57" s="2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25"/>
      <c r="B58" s="2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25"/>
      <c r="B59" s="2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25"/>
      <c r="B60" s="2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25"/>
      <c r="B61" s="2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25"/>
      <c r="B62" s="2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25"/>
      <c r="B63" s="2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25"/>
      <c r="B64" s="2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25"/>
      <c r="B65" s="2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25"/>
      <c r="B66" s="2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25"/>
      <c r="B67" s="2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25"/>
      <c r="B68" s="2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25"/>
      <c r="B69" s="2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25"/>
      <c r="B70" s="2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25"/>
      <c r="B71" s="2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25"/>
      <c r="B72" s="2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25"/>
      <c r="B73" s="2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25"/>
      <c r="B74" s="2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25"/>
      <c r="B75" s="2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25"/>
      <c r="B76" s="2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25"/>
      <c r="B77" s="2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25"/>
      <c r="B78" s="2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25"/>
      <c r="B79" s="2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25"/>
      <c r="B80" s="2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25"/>
      <c r="B81" s="2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25"/>
      <c r="B82" s="2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25"/>
      <c r="B83" s="2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25"/>
      <c r="B84" s="2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25"/>
      <c r="B85" s="2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25"/>
      <c r="B86" s="2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25"/>
      <c r="B87" s="2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25"/>
      <c r="B88" s="2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25"/>
      <c r="B89" s="2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25"/>
      <c r="B90" s="2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25"/>
      <c r="B91" s="2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25"/>
      <c r="B92" s="2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25"/>
      <c r="B93" s="2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25"/>
      <c r="B94" s="2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25"/>
      <c r="B95" s="2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25"/>
      <c r="B96" s="2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25"/>
      <c r="B97" s="2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25"/>
      <c r="B98" s="2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25"/>
      <c r="B99" s="2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25"/>
      <c r="B100" s="2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25"/>
      <c r="B101" s="2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25"/>
      <c r="B102" s="2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25"/>
      <c r="B103" s="2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25"/>
      <c r="B104" s="2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25"/>
      <c r="B105" s="2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25"/>
      <c r="B106" s="2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25"/>
      <c r="B107" s="2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25"/>
      <c r="B108" s="2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25"/>
      <c r="B109" s="2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25"/>
      <c r="B110" s="2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25"/>
      <c r="B111" s="2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25"/>
      <c r="B112" s="2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25"/>
      <c r="B113" s="2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25"/>
      <c r="B114" s="2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25"/>
      <c r="B115" s="2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25"/>
      <c r="B116" s="2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25"/>
      <c r="B117" s="2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25"/>
      <c r="B118" s="2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25"/>
      <c r="B119" s="2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25"/>
      <c r="B120" s="2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25"/>
      <c r="B121" s="2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25"/>
      <c r="B122" s="2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25"/>
      <c r="B123" s="2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25"/>
      <c r="B124" s="2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25"/>
      <c r="B125" s="2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25"/>
      <c r="B126" s="2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25"/>
      <c r="B127" s="2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25"/>
      <c r="B128" s="2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25"/>
      <c r="B129" s="2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25"/>
      <c r="B130" s="2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25"/>
      <c r="B131" s="2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25"/>
      <c r="B132" s="2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25"/>
      <c r="B133" s="2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25"/>
      <c r="B134" s="2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25"/>
      <c r="B135" s="2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25"/>
      <c r="B136" s="2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25"/>
      <c r="B137" s="2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25"/>
      <c r="B138" s="2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25"/>
      <c r="B139" s="2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25"/>
      <c r="B140" s="2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25"/>
      <c r="B141" s="2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25"/>
      <c r="B142" s="2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25"/>
      <c r="B143" s="2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25"/>
      <c r="B144" s="2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25"/>
      <c r="B145" s="2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25"/>
      <c r="B146" s="2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25"/>
      <c r="B147" s="2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25"/>
      <c r="B148" s="2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25"/>
      <c r="B149" s="2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25"/>
      <c r="B150" s="2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25"/>
      <c r="B151" s="2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25"/>
      <c r="B152" s="2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25"/>
      <c r="B153" s="2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25"/>
      <c r="B154" s="2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25"/>
      <c r="B155" s="2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25"/>
      <c r="B156" s="2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25"/>
      <c r="B157" s="2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25"/>
      <c r="B158" s="2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25"/>
      <c r="B159" s="2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25"/>
      <c r="B160" s="2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25"/>
      <c r="B161" s="2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25"/>
      <c r="B162" s="2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25"/>
      <c r="B163" s="2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25"/>
      <c r="B164" s="2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25"/>
      <c r="B165" s="2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25"/>
      <c r="B166" s="2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25"/>
      <c r="B167" s="2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25"/>
      <c r="B168" s="2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25"/>
      <c r="B169" s="2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25"/>
      <c r="B170" s="2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25"/>
      <c r="B171" s="2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25"/>
      <c r="B172" s="2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25"/>
      <c r="B173" s="2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25"/>
      <c r="B174" s="2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25"/>
      <c r="B175" s="2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25"/>
      <c r="B176" s="2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25"/>
      <c r="B177" s="2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25"/>
      <c r="B178" s="2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25"/>
      <c r="B179" s="2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25"/>
      <c r="B180" s="2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25"/>
      <c r="B181" s="2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25"/>
      <c r="B182" s="2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25"/>
      <c r="B183" s="2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25"/>
      <c r="B184" s="2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25"/>
      <c r="B185" s="2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25"/>
      <c r="B186" s="2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25"/>
      <c r="B187" s="2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25"/>
      <c r="B188" s="2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25"/>
      <c r="B189" s="2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25"/>
      <c r="B190" s="2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25"/>
      <c r="B191" s="2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25"/>
      <c r="B192" s="2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25"/>
      <c r="B193" s="2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25"/>
      <c r="B194" s="2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25"/>
      <c r="B195" s="2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25"/>
      <c r="B196" s="2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25"/>
      <c r="B197" s="2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25"/>
      <c r="B198" s="2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25"/>
      <c r="B199" s="2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25"/>
      <c r="B200" s="2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25"/>
      <c r="B201" s="2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25"/>
      <c r="B202" s="2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25"/>
      <c r="B203" s="2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25"/>
      <c r="B204" s="2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25"/>
      <c r="B205" s="2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25"/>
      <c r="B206" s="2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25"/>
      <c r="B207" s="2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25"/>
      <c r="B208" s="2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25"/>
      <c r="B209" s="2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25"/>
      <c r="B210" s="2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25"/>
      <c r="B211" s="2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25"/>
      <c r="B212" s="2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25"/>
      <c r="B213" s="2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25"/>
      <c r="B214" s="2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25"/>
      <c r="B215" s="2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25"/>
      <c r="B216" s="2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25"/>
      <c r="B217" s="2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25"/>
      <c r="B218" s="2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25"/>
      <c r="B219" s="2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25"/>
      <c r="B220" s="2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25"/>
      <c r="B221" s="2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25"/>
      <c r="B222" s="2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25"/>
      <c r="B223" s="2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25"/>
      <c r="B224" s="2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25"/>
      <c r="B225" s="2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25"/>
      <c r="B226" s="2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25"/>
      <c r="B227" s="2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25"/>
      <c r="B228" s="2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25"/>
      <c r="B229" s="2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25"/>
      <c r="B230" s="2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25"/>
      <c r="B231" s="2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25"/>
      <c r="B232" s="2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25"/>
      <c r="B233" s="2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2">
    <mergeCell ref="A16:D16"/>
    <mergeCell ref="A21:D21"/>
    <mergeCell ref="A23:D23"/>
    <mergeCell ref="A25:H25"/>
    <mergeCell ref="A27:H27"/>
    <mergeCell ref="A1:H1"/>
    <mergeCell ref="A3:J3"/>
    <mergeCell ref="A6:D6"/>
    <mergeCell ref="A8:J8"/>
    <mergeCell ref="A11:D11"/>
    <mergeCell ref="A13:J13"/>
    <mergeCell ref="A18:J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38.43"/>
    <col customWidth="1" min="3" max="3" width="17.43"/>
    <col customWidth="1" min="4" max="6" width="14.43"/>
  </cols>
  <sheetData>
    <row r="1" ht="30.0" customHeight="1">
      <c r="A1" s="82" t="s">
        <v>48</v>
      </c>
      <c r="B1" s="2"/>
      <c r="C1" s="2"/>
      <c r="D1" s="2"/>
      <c r="E1" s="2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>
      <c r="A3" s="83" t="s">
        <v>49</v>
      </c>
      <c r="B3" s="84"/>
      <c r="C3" s="85"/>
    </row>
    <row r="4">
      <c r="A4" s="86" t="s">
        <v>50</v>
      </c>
      <c r="B4" s="87"/>
      <c r="C4" s="88">
        <v>5750.0</v>
      </c>
    </row>
    <row r="5">
      <c r="A5" s="89" t="s">
        <v>51</v>
      </c>
      <c r="B5" s="87"/>
      <c r="C5" s="90">
        <v>0.08</v>
      </c>
    </row>
    <row r="6">
      <c r="A6" s="86" t="s">
        <v>52</v>
      </c>
      <c r="B6" s="87"/>
      <c r="C6" s="90">
        <v>0.01</v>
      </c>
    </row>
    <row r="7">
      <c r="A7" s="89" t="s">
        <v>53</v>
      </c>
      <c r="B7" s="87"/>
      <c r="C7" s="90">
        <v>0.04</v>
      </c>
    </row>
    <row r="8">
      <c r="A8" s="86" t="s">
        <v>54</v>
      </c>
      <c r="B8" s="87"/>
      <c r="C8" s="90">
        <v>0.04</v>
      </c>
    </row>
    <row r="9">
      <c r="A9" s="89" t="s">
        <v>55</v>
      </c>
      <c r="B9" s="87"/>
      <c r="C9" s="91">
        <v>20.0</v>
      </c>
    </row>
    <row r="10">
      <c r="A10" s="86" t="s">
        <v>56</v>
      </c>
      <c r="B10" s="87"/>
      <c r="C10" s="88">
        <v>11804.0</v>
      </c>
    </row>
    <row r="11">
      <c r="A11" s="89" t="s">
        <v>57</v>
      </c>
      <c r="B11" s="87"/>
      <c r="C11" s="88">
        <v>37683.0</v>
      </c>
    </row>
    <row r="12">
      <c r="A12" s="86" t="s">
        <v>58</v>
      </c>
      <c r="B12" s="87"/>
      <c r="C12" s="92">
        <f>C10+C11</f>
        <v>49487</v>
      </c>
    </row>
    <row r="15">
      <c r="A15" s="93" t="s">
        <v>59</v>
      </c>
      <c r="B15" s="94"/>
      <c r="C15" s="95"/>
    </row>
    <row r="16">
      <c r="A16" s="96" t="s">
        <v>60</v>
      </c>
      <c r="B16" s="87"/>
      <c r="C16" s="97" t="s">
        <v>61</v>
      </c>
    </row>
    <row r="17">
      <c r="A17" s="98" t="s">
        <v>62</v>
      </c>
      <c r="B17" s="87"/>
      <c r="C17" s="99">
        <f t="shared" ref="C17:C18" si="1">C10*C7</f>
        <v>472.16</v>
      </c>
    </row>
    <row r="18">
      <c r="A18" s="98" t="s">
        <v>63</v>
      </c>
      <c r="B18" s="87"/>
      <c r="C18" s="99">
        <f t="shared" si="1"/>
        <v>1507.32</v>
      </c>
    </row>
    <row r="19">
      <c r="A19" s="100" t="s">
        <v>64</v>
      </c>
      <c r="B19" s="87"/>
      <c r="C19" s="101">
        <f>C12*C6</f>
        <v>494.87</v>
      </c>
    </row>
    <row r="20">
      <c r="A20" s="102" t="s">
        <v>65</v>
      </c>
      <c r="B20" s="87"/>
      <c r="C20" s="103">
        <f>C17+C18+C19</f>
        <v>2474.35</v>
      </c>
    </row>
    <row r="21" ht="15.75" customHeight="1">
      <c r="A21" s="102" t="s">
        <v>66</v>
      </c>
      <c r="B21" s="87"/>
      <c r="C21" s="103">
        <f>C4-C20</f>
        <v>3275.65</v>
      </c>
    </row>
    <row r="22" ht="15.75" customHeight="1">
      <c r="A22" s="104"/>
      <c r="B22" s="87"/>
      <c r="C22" s="105"/>
    </row>
    <row r="23" ht="15.75" customHeight="1"/>
    <row r="24" ht="15.75" customHeight="1"/>
    <row r="25" ht="15.75" customHeight="1">
      <c r="A25" s="93" t="s">
        <v>67</v>
      </c>
      <c r="B25" s="94"/>
      <c r="C25" s="94"/>
      <c r="D25" s="94"/>
      <c r="E25" s="94"/>
      <c r="F25" s="95"/>
    </row>
    <row r="26" ht="15.75" customHeight="1">
      <c r="A26" s="97" t="s">
        <v>68</v>
      </c>
      <c r="B26" s="97" t="s">
        <v>69</v>
      </c>
      <c r="C26" s="97" t="s">
        <v>70</v>
      </c>
      <c r="D26" s="97" t="s">
        <v>71</v>
      </c>
      <c r="E26" s="97" t="s">
        <v>72</v>
      </c>
      <c r="F26" s="97" t="s">
        <v>61</v>
      </c>
    </row>
    <row r="27" ht="15.75" customHeight="1">
      <c r="A27" s="106" t="s">
        <v>35</v>
      </c>
      <c r="B27" s="107">
        <v>3.0</v>
      </c>
      <c r="C27" s="107">
        <v>10.0</v>
      </c>
      <c r="D27" s="108">
        <f t="shared" ref="D27:D30" si="2">B27*C27</f>
        <v>30</v>
      </c>
      <c r="E27" s="107">
        <f>C9</f>
        <v>20</v>
      </c>
      <c r="F27" s="108">
        <f t="shared" ref="F27:F30" si="3">D27*E27</f>
        <v>600</v>
      </c>
    </row>
    <row r="28" ht="15.75" customHeight="1">
      <c r="A28" s="109" t="s">
        <v>14</v>
      </c>
      <c r="B28" s="110">
        <v>6.0</v>
      </c>
      <c r="C28" s="110">
        <v>7.0</v>
      </c>
      <c r="D28" s="111">
        <f t="shared" si="2"/>
        <v>42</v>
      </c>
      <c r="E28" s="110">
        <f>C9</f>
        <v>20</v>
      </c>
      <c r="F28" s="111">
        <f t="shared" si="3"/>
        <v>840</v>
      </c>
    </row>
    <row r="29" ht="15.75" customHeight="1">
      <c r="A29" s="106" t="s">
        <v>21</v>
      </c>
      <c r="B29" s="107">
        <v>7.0</v>
      </c>
      <c r="C29" s="107">
        <v>5.0</v>
      </c>
      <c r="D29" s="108">
        <f t="shared" si="2"/>
        <v>35</v>
      </c>
      <c r="E29" s="107">
        <f>C9</f>
        <v>20</v>
      </c>
      <c r="F29" s="108">
        <f t="shared" si="3"/>
        <v>700</v>
      </c>
    </row>
    <row r="30" ht="15.75" customHeight="1">
      <c r="A30" s="109" t="s">
        <v>73</v>
      </c>
      <c r="B30" s="110">
        <v>6.0</v>
      </c>
      <c r="C30" s="110">
        <v>6.0</v>
      </c>
      <c r="D30" s="111">
        <f t="shared" si="2"/>
        <v>36</v>
      </c>
      <c r="E30" s="110">
        <f>C9</f>
        <v>20</v>
      </c>
      <c r="F30" s="111">
        <f t="shared" si="3"/>
        <v>720</v>
      </c>
    </row>
    <row r="31" ht="15.75" customHeight="1">
      <c r="A31" s="112" t="s">
        <v>74</v>
      </c>
      <c r="B31" s="113">
        <f>SUM(B27:B30)</f>
        <v>22</v>
      </c>
      <c r="C31" s="114"/>
      <c r="D31" s="115">
        <f>SUM(D27:D30)</f>
        <v>143</v>
      </c>
      <c r="E31" s="114"/>
      <c r="F31" s="115">
        <f>SUM(F27:F30)</f>
        <v>2860</v>
      </c>
    </row>
    <row r="32" ht="15.75" customHeight="1"/>
    <row r="33" ht="15.75" customHeight="1"/>
    <row r="34" ht="15.75" customHeight="1"/>
    <row r="35" ht="15.75" customHeight="1">
      <c r="A35" s="116"/>
      <c r="B35" s="117"/>
      <c r="C35" s="117"/>
      <c r="D35" s="117"/>
      <c r="E35" s="117"/>
      <c r="F35" s="11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H1"/>
    <mergeCell ref="A4:B4"/>
    <mergeCell ref="A5:B5"/>
    <mergeCell ref="A6:B6"/>
    <mergeCell ref="A7:B7"/>
    <mergeCell ref="A8:B8"/>
    <mergeCell ref="A9:B9"/>
    <mergeCell ref="A20:B20"/>
    <mergeCell ref="A21:B21"/>
    <mergeCell ref="A22:B22"/>
    <mergeCell ref="A10:B10"/>
    <mergeCell ref="A11:B11"/>
    <mergeCell ref="A12:B12"/>
    <mergeCell ref="A16:B16"/>
    <mergeCell ref="A17:B17"/>
    <mergeCell ref="A18:B18"/>
    <mergeCell ref="A19:B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39.57"/>
    <col customWidth="1" min="4" max="6" width="8.71"/>
  </cols>
  <sheetData>
    <row r="1" ht="27.75" customHeight="1">
      <c r="A1" s="118" t="s">
        <v>75</v>
      </c>
      <c r="B1" s="2"/>
      <c r="C1" s="3"/>
    </row>
    <row r="2" ht="15.0" customHeight="1">
      <c r="A2" s="119" t="s">
        <v>76</v>
      </c>
      <c r="B2" s="2"/>
      <c r="C2" s="3"/>
    </row>
    <row r="3" ht="15.0" customHeight="1">
      <c r="A3" s="120" t="s">
        <v>77</v>
      </c>
      <c r="B3" s="120" t="s">
        <v>78</v>
      </c>
      <c r="C3" s="120" t="s">
        <v>79</v>
      </c>
    </row>
    <row r="4" ht="18.0" customHeight="1">
      <c r="A4" s="121" t="s">
        <v>80</v>
      </c>
      <c r="B4" s="122">
        <v>20.0</v>
      </c>
      <c r="C4" s="121" t="s">
        <v>81</v>
      </c>
    </row>
    <row r="5" ht="7.5" customHeight="1">
      <c r="A5" s="5"/>
      <c r="B5" s="5"/>
      <c r="C5" s="5"/>
    </row>
    <row r="6" ht="15.0" customHeight="1">
      <c r="A6" s="123" t="s">
        <v>82</v>
      </c>
      <c r="B6" s="2"/>
      <c r="C6" s="3"/>
    </row>
    <row r="7" ht="15.0" customHeight="1">
      <c r="A7" s="124" t="s">
        <v>77</v>
      </c>
      <c r="B7" s="124" t="s">
        <v>83</v>
      </c>
      <c r="C7" s="124" t="s">
        <v>84</v>
      </c>
    </row>
    <row r="8" ht="15.0" customHeight="1">
      <c r="A8" s="125" t="s">
        <v>85</v>
      </c>
      <c r="B8" s="126">
        <v>0.08</v>
      </c>
      <c r="C8" s="125" t="s">
        <v>86</v>
      </c>
    </row>
    <row r="9" ht="15.0" customHeight="1">
      <c r="A9" s="127" t="s">
        <v>87</v>
      </c>
      <c r="B9" s="128">
        <v>0.01</v>
      </c>
      <c r="C9" s="127" t="s">
        <v>88</v>
      </c>
    </row>
    <row r="10" ht="15.0" customHeight="1">
      <c r="A10" s="125" t="s">
        <v>89</v>
      </c>
      <c r="B10" s="126">
        <v>0.04</v>
      </c>
      <c r="C10" s="125" t="s">
        <v>90</v>
      </c>
    </row>
    <row r="11" ht="23.25" customHeight="1">
      <c r="A11" s="5"/>
      <c r="B11" s="5"/>
      <c r="C11" s="5"/>
    </row>
    <row r="12" ht="15.0" customHeight="1">
      <c r="A12" s="129" t="s">
        <v>91</v>
      </c>
      <c r="B12" s="5"/>
      <c r="C12" s="5"/>
    </row>
    <row r="13" ht="15.0" customHeight="1">
      <c r="A13" s="130" t="s">
        <v>92</v>
      </c>
      <c r="B13" s="5"/>
      <c r="C13" s="129"/>
    </row>
    <row r="14" ht="15.0" customHeight="1">
      <c r="A14" s="130" t="s">
        <v>93</v>
      </c>
      <c r="B14" s="5"/>
      <c r="C14" s="129"/>
    </row>
    <row r="15" ht="15.0" customHeight="1">
      <c r="A15" s="130" t="s">
        <v>94</v>
      </c>
      <c r="B15" s="5"/>
      <c r="C15" s="129"/>
    </row>
    <row r="16" ht="15.0" customHeight="1">
      <c r="A16" s="130" t="s">
        <v>95</v>
      </c>
      <c r="B16" s="5"/>
      <c r="C16" s="129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 ht="15.75" customHeight="1">
      <c r="A21" s="5"/>
      <c r="B21" s="5"/>
      <c r="C21" s="5"/>
    </row>
    <row r="22" ht="15.75" customHeight="1">
      <c r="A22" s="5"/>
      <c r="B22" s="5"/>
      <c r="C22" s="5"/>
    </row>
    <row r="23" ht="15.75" customHeight="1">
      <c r="A23" s="5"/>
      <c r="B23" s="5"/>
      <c r="C23" s="5"/>
    </row>
    <row r="24" ht="15.75" customHeight="1">
      <c r="A24" s="5"/>
      <c r="B24" s="5"/>
      <c r="C24" s="5"/>
    </row>
    <row r="25" ht="15.75" customHeight="1">
      <c r="A25" s="5"/>
      <c r="B25" s="5"/>
      <c r="C25" s="5"/>
    </row>
    <row r="26" ht="15.75" customHeight="1">
      <c r="A26" s="5"/>
      <c r="B26" s="5"/>
      <c r="C26" s="5"/>
    </row>
    <row r="27" ht="15.75" customHeight="1">
      <c r="A27" s="5"/>
      <c r="B27" s="5"/>
      <c r="C27" s="5"/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>
      <c r="A38" s="5"/>
      <c r="B38" s="5"/>
      <c r="C38" s="5"/>
    </row>
    <row r="39" ht="15.75" customHeight="1">
      <c r="A39" s="5"/>
      <c r="B39" s="5"/>
      <c r="C39" s="5"/>
    </row>
    <row r="40" ht="15.75" customHeight="1">
      <c r="A40" s="5"/>
      <c r="B40" s="5"/>
      <c r="C40" s="5"/>
    </row>
    <row r="41" ht="15.75" customHeight="1">
      <c r="A41" s="5"/>
      <c r="B41" s="5"/>
      <c r="C41" s="5"/>
    </row>
    <row r="42" ht="15.75" customHeight="1">
      <c r="A42" s="5"/>
      <c r="B42" s="5"/>
      <c r="C42" s="5"/>
    </row>
    <row r="43" ht="15.75" customHeight="1">
      <c r="A43" s="5"/>
      <c r="B43" s="5"/>
      <c r="C43" s="5"/>
    </row>
    <row r="44" ht="15.75" customHeight="1">
      <c r="A44" s="5"/>
      <c r="B44" s="5"/>
      <c r="C44" s="5"/>
    </row>
    <row r="45" ht="15.75" customHeight="1">
      <c r="A45" s="5"/>
      <c r="B45" s="5"/>
      <c r="C45" s="5"/>
    </row>
    <row r="46" ht="15.75" customHeight="1">
      <c r="A46" s="5"/>
      <c r="B46" s="5"/>
      <c r="C46" s="5"/>
    </row>
    <row r="47" ht="15.75" customHeight="1">
      <c r="A47" s="5"/>
      <c r="B47" s="5"/>
      <c r="C47" s="5"/>
    </row>
    <row r="48" ht="15.75" customHeight="1">
      <c r="A48" s="5"/>
      <c r="B48" s="5"/>
      <c r="C48" s="5"/>
    </row>
    <row r="49" ht="15.75" customHeight="1">
      <c r="A49" s="5"/>
      <c r="B49" s="5"/>
      <c r="C49" s="5"/>
    </row>
    <row r="50" ht="15.75" customHeight="1">
      <c r="A50" s="5"/>
      <c r="B50" s="5"/>
      <c r="C50" s="5"/>
    </row>
    <row r="51" ht="15.75" customHeight="1">
      <c r="A51" s="5"/>
      <c r="B51" s="5"/>
      <c r="C51" s="5"/>
    </row>
    <row r="52" ht="15.75" customHeight="1">
      <c r="A52" s="5"/>
      <c r="B52" s="5"/>
      <c r="C52" s="5"/>
    </row>
    <row r="53" ht="15.75" customHeight="1">
      <c r="A53" s="5"/>
      <c r="B53" s="5"/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6:C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50.29"/>
    <col customWidth="1" min="3" max="5" width="14.86"/>
    <col customWidth="1" min="6" max="6" width="32.0"/>
    <col customWidth="1" min="7" max="7" width="16.0"/>
  </cols>
  <sheetData>
    <row r="1" ht="19.5" customHeight="1">
      <c r="A1" s="131" t="s">
        <v>96</v>
      </c>
      <c r="B1" s="131" t="s">
        <v>97</v>
      </c>
      <c r="C1" s="132" t="s">
        <v>98</v>
      </c>
      <c r="D1" s="131" t="s">
        <v>99</v>
      </c>
      <c r="E1" s="132" t="s">
        <v>100</v>
      </c>
      <c r="F1" s="131" t="s">
        <v>101</v>
      </c>
      <c r="G1" s="131" t="s">
        <v>102</v>
      </c>
      <c r="H1" s="133"/>
    </row>
    <row r="2" ht="18.0" customHeight="1">
      <c r="A2" s="134" t="s">
        <v>103</v>
      </c>
      <c r="B2" s="135" t="s">
        <v>104</v>
      </c>
      <c r="C2" s="136"/>
      <c r="D2" s="137"/>
      <c r="E2" s="136"/>
      <c r="F2" s="138"/>
      <c r="G2" s="139"/>
      <c r="H2" s="133"/>
    </row>
    <row r="3" ht="18.0" customHeight="1">
      <c r="A3" s="140" t="s">
        <v>105</v>
      </c>
      <c r="B3" s="141" t="s">
        <v>106</v>
      </c>
      <c r="C3" s="142"/>
      <c r="D3" s="143"/>
      <c r="E3" s="142"/>
      <c r="F3" s="144"/>
      <c r="G3" s="145"/>
      <c r="H3" s="133"/>
    </row>
    <row r="4" ht="18.0" customHeight="1">
      <c r="A4" s="140" t="s">
        <v>107</v>
      </c>
      <c r="B4" s="141" t="s">
        <v>108</v>
      </c>
      <c r="C4" s="142"/>
      <c r="D4" s="143"/>
      <c r="E4" s="142"/>
      <c r="F4" s="144"/>
      <c r="G4" s="145"/>
      <c r="H4" s="133"/>
    </row>
    <row r="5" ht="18.0" customHeight="1">
      <c r="A5" s="134" t="s">
        <v>109</v>
      </c>
      <c r="B5" s="135" t="s">
        <v>110</v>
      </c>
      <c r="C5" s="136"/>
      <c r="D5" s="137"/>
      <c r="E5" s="136"/>
      <c r="F5" s="138"/>
      <c r="G5" s="139"/>
      <c r="H5" s="133"/>
    </row>
    <row r="6" ht="18.0" customHeight="1">
      <c r="A6" s="146" t="s">
        <v>111</v>
      </c>
      <c r="B6" s="147" t="s">
        <v>112</v>
      </c>
      <c r="C6" s="148"/>
      <c r="D6" s="149"/>
      <c r="E6" s="148"/>
      <c r="F6" s="150"/>
      <c r="G6" s="151"/>
      <c r="H6" s="133"/>
    </row>
    <row r="7" ht="18.0" customHeight="1">
      <c r="A7" s="146" t="s">
        <v>113</v>
      </c>
      <c r="B7" s="147" t="s">
        <v>114</v>
      </c>
      <c r="C7" s="148"/>
      <c r="D7" s="149"/>
      <c r="E7" s="148"/>
      <c r="F7" s="150"/>
      <c r="G7" s="151"/>
      <c r="H7" s="133"/>
    </row>
    <row r="8" ht="18.0" customHeight="1">
      <c r="A8" s="134" t="s">
        <v>115</v>
      </c>
      <c r="B8" s="135" t="s">
        <v>116</v>
      </c>
      <c r="C8" s="136"/>
      <c r="D8" s="137"/>
      <c r="E8" s="136"/>
      <c r="F8" s="138"/>
      <c r="G8" s="139"/>
      <c r="H8" s="133"/>
    </row>
    <row r="9" ht="18.0" customHeight="1">
      <c r="A9" s="152" t="s">
        <v>117</v>
      </c>
      <c r="B9" s="153" t="s">
        <v>118</v>
      </c>
      <c r="C9" s="154"/>
      <c r="D9" s="155"/>
      <c r="E9" s="154"/>
      <c r="F9" s="156"/>
      <c r="G9" s="157"/>
      <c r="H9" s="133"/>
    </row>
    <row r="10" ht="18.0" customHeight="1">
      <c r="A10" s="152" t="s">
        <v>119</v>
      </c>
      <c r="B10" s="153" t="s">
        <v>120</v>
      </c>
      <c r="C10" s="154"/>
      <c r="D10" s="155"/>
      <c r="E10" s="154"/>
      <c r="F10" s="156"/>
      <c r="G10" s="157"/>
      <c r="H10" s="133"/>
    </row>
    <row r="11" ht="18.0" customHeight="1">
      <c r="A11" s="152" t="s">
        <v>121</v>
      </c>
      <c r="B11" s="153" t="s">
        <v>122</v>
      </c>
      <c r="C11" s="154"/>
      <c r="D11" s="155"/>
      <c r="E11" s="154"/>
      <c r="F11" s="156"/>
      <c r="G11" s="157"/>
      <c r="H11" s="133"/>
    </row>
    <row r="12" ht="18.0" customHeight="1">
      <c r="A12" s="152" t="s">
        <v>123</v>
      </c>
      <c r="B12" s="153" t="s">
        <v>124</v>
      </c>
      <c r="C12" s="154"/>
      <c r="D12" s="155"/>
      <c r="E12" s="154"/>
      <c r="F12" s="156"/>
      <c r="G12" s="157"/>
      <c r="H12" s="133"/>
    </row>
    <row r="13" ht="18.0" customHeight="1">
      <c r="A13" s="134" t="s">
        <v>125</v>
      </c>
      <c r="B13" s="135" t="s">
        <v>126</v>
      </c>
      <c r="C13" s="136"/>
      <c r="D13" s="158"/>
      <c r="E13" s="136"/>
      <c r="F13" s="138"/>
      <c r="G13" s="139"/>
      <c r="H13" s="133"/>
    </row>
    <row r="14" ht="18.0" customHeight="1">
      <c r="A14" s="159" t="s">
        <v>127</v>
      </c>
      <c r="B14" s="160" t="s">
        <v>128</v>
      </c>
      <c r="C14" s="161"/>
      <c r="D14" s="162"/>
      <c r="E14" s="161"/>
      <c r="F14" s="163"/>
      <c r="G14" s="164"/>
      <c r="H14" s="133"/>
    </row>
    <row r="15" ht="18.0" customHeight="1">
      <c r="A15" s="159" t="s">
        <v>129</v>
      </c>
      <c r="B15" s="160" t="s">
        <v>130</v>
      </c>
      <c r="C15" s="161"/>
      <c r="D15" s="162"/>
      <c r="E15" s="161"/>
      <c r="F15" s="163"/>
      <c r="G15" s="164"/>
      <c r="H15" s="133"/>
    </row>
    <row r="16" ht="18.0" customHeight="1">
      <c r="A16" s="159" t="s">
        <v>131</v>
      </c>
      <c r="B16" s="160" t="s">
        <v>132</v>
      </c>
      <c r="C16" s="161"/>
      <c r="D16" s="162"/>
      <c r="E16" s="161"/>
      <c r="F16" s="163"/>
      <c r="G16" s="164"/>
      <c r="H16" s="133"/>
    </row>
    <row r="17" ht="18.0" customHeight="1">
      <c r="A17" s="159" t="s">
        <v>133</v>
      </c>
      <c r="B17" s="160" t="s">
        <v>134</v>
      </c>
      <c r="C17" s="161"/>
      <c r="D17" s="162"/>
      <c r="E17" s="161"/>
      <c r="F17" s="163"/>
      <c r="G17" s="164"/>
      <c r="H17" s="133"/>
    </row>
    <row r="18" ht="18.0" customHeight="1">
      <c r="A18" s="159" t="s">
        <v>135</v>
      </c>
      <c r="B18" s="160" t="s">
        <v>136</v>
      </c>
      <c r="C18" s="161"/>
      <c r="D18" s="162"/>
      <c r="E18" s="161"/>
      <c r="F18" s="163"/>
      <c r="G18" s="164"/>
      <c r="H18" s="133"/>
    </row>
    <row r="19" ht="18.0" customHeight="1">
      <c r="A19" s="158" t="s">
        <v>137</v>
      </c>
      <c r="B19" s="135" t="s">
        <v>138</v>
      </c>
      <c r="C19" s="136"/>
      <c r="D19" s="137"/>
      <c r="E19" s="136"/>
      <c r="F19" s="138"/>
      <c r="G19" s="139"/>
      <c r="H19" s="133"/>
    </row>
    <row r="20" ht="18.0" customHeight="1">
      <c r="A20" s="165" t="s">
        <v>139</v>
      </c>
      <c r="B20" s="166" t="s">
        <v>140</v>
      </c>
      <c r="C20" s="167"/>
      <c r="D20" s="168"/>
      <c r="E20" s="167"/>
      <c r="F20" s="169"/>
      <c r="G20" s="170"/>
      <c r="H20" s="133"/>
    </row>
    <row r="21" ht="18.0" customHeight="1">
      <c r="A21" s="165" t="s">
        <v>141</v>
      </c>
      <c r="B21" s="166" t="s">
        <v>142</v>
      </c>
      <c r="C21" s="167"/>
      <c r="D21" s="168"/>
      <c r="E21" s="167"/>
      <c r="F21" s="169"/>
      <c r="G21" s="170"/>
      <c r="H21" s="133"/>
    </row>
    <row r="22" ht="18.0" customHeight="1">
      <c r="A22" s="165" t="s">
        <v>143</v>
      </c>
      <c r="B22" s="166" t="s">
        <v>144</v>
      </c>
      <c r="C22" s="167"/>
      <c r="D22" s="168"/>
      <c r="E22" s="167"/>
      <c r="F22" s="169"/>
      <c r="G22" s="170"/>
      <c r="H22" s="133"/>
    </row>
    <row r="23" ht="18.0" customHeight="1">
      <c r="A23" s="134" t="s">
        <v>145</v>
      </c>
      <c r="B23" s="135" t="s">
        <v>146</v>
      </c>
      <c r="C23" s="136"/>
      <c r="D23" s="137"/>
      <c r="E23" s="136"/>
      <c r="F23" s="138"/>
      <c r="G23" s="139"/>
      <c r="H23" s="133"/>
    </row>
    <row r="24" ht="18.0" customHeight="1">
      <c r="A24" s="171" t="s">
        <v>147</v>
      </c>
      <c r="B24" s="172" t="s">
        <v>148</v>
      </c>
      <c r="C24" s="173"/>
      <c r="D24" s="174"/>
      <c r="E24" s="173"/>
      <c r="F24" s="175"/>
      <c r="G24" s="176"/>
      <c r="H24" s="133"/>
    </row>
    <row r="25" ht="18.0" customHeight="1">
      <c r="A25" s="171" t="s">
        <v>149</v>
      </c>
      <c r="B25" s="172" t="s">
        <v>150</v>
      </c>
      <c r="C25" s="173"/>
      <c r="D25" s="174"/>
      <c r="E25" s="173"/>
      <c r="F25" s="175"/>
      <c r="G25" s="176"/>
      <c r="H25" s="133"/>
    </row>
    <row r="26" ht="18.0" customHeight="1">
      <c r="A26" s="171" t="s">
        <v>151</v>
      </c>
      <c r="B26" s="172" t="s">
        <v>152</v>
      </c>
      <c r="C26" s="173"/>
      <c r="D26" s="174"/>
      <c r="E26" s="173"/>
      <c r="F26" s="175"/>
      <c r="G26" s="176"/>
      <c r="H26" s="133"/>
    </row>
    <row r="27" ht="18.0" customHeight="1">
      <c r="A27" s="134" t="s">
        <v>153</v>
      </c>
      <c r="B27" s="135" t="s">
        <v>154</v>
      </c>
      <c r="C27" s="136"/>
      <c r="D27" s="137"/>
      <c r="E27" s="136"/>
      <c r="F27" s="138"/>
      <c r="G27" s="139"/>
      <c r="H27" s="133"/>
    </row>
    <row r="28" ht="18.0" customHeight="1">
      <c r="A28" s="177" t="s">
        <v>155</v>
      </c>
      <c r="B28" s="178" t="s">
        <v>156</v>
      </c>
      <c r="C28" s="179"/>
      <c r="D28" s="180"/>
      <c r="E28" s="179"/>
      <c r="F28" s="181"/>
      <c r="G28" s="182"/>
      <c r="H28" s="133"/>
    </row>
    <row r="29" ht="18.0" customHeight="1">
      <c r="A29" s="177" t="s">
        <v>157</v>
      </c>
      <c r="B29" s="178" t="s">
        <v>158</v>
      </c>
      <c r="C29" s="179"/>
      <c r="D29" s="180"/>
      <c r="E29" s="179"/>
      <c r="F29" s="181"/>
      <c r="G29" s="182"/>
      <c r="H29" s="133"/>
    </row>
    <row r="30" ht="18.0" customHeight="1">
      <c r="A30" s="177" t="s">
        <v>159</v>
      </c>
      <c r="B30" s="178" t="s">
        <v>160</v>
      </c>
      <c r="C30" s="179"/>
      <c r="D30" s="180"/>
      <c r="E30" s="179"/>
      <c r="F30" s="181"/>
      <c r="G30" s="182"/>
      <c r="H30" s="133"/>
    </row>
    <row r="31" ht="18.0" customHeight="1">
      <c r="A31" s="177" t="s">
        <v>161</v>
      </c>
      <c r="B31" s="178" t="s">
        <v>162</v>
      </c>
      <c r="C31" s="179"/>
      <c r="D31" s="180"/>
      <c r="E31" s="179"/>
      <c r="F31" s="181"/>
      <c r="G31" s="182"/>
      <c r="H31" s="133"/>
    </row>
    <row r="32" ht="18.0" customHeight="1">
      <c r="A32" s="177" t="s">
        <v>163</v>
      </c>
      <c r="B32" s="178" t="s">
        <v>156</v>
      </c>
      <c r="C32" s="179"/>
      <c r="D32" s="180"/>
      <c r="E32" s="179"/>
      <c r="F32" s="181"/>
      <c r="G32" s="183"/>
      <c r="H32" s="133"/>
    </row>
    <row r="33" ht="15.75" customHeight="1">
      <c r="A33" s="184"/>
      <c r="B33" s="5"/>
      <c r="C33" s="185"/>
      <c r="D33" s="186"/>
      <c r="E33" s="185"/>
      <c r="F33" s="5"/>
      <c r="G33" s="133"/>
      <c r="H33" s="133"/>
    </row>
    <row r="34" ht="15.75" customHeight="1">
      <c r="A34" s="184"/>
      <c r="B34" s="5"/>
      <c r="C34" s="185"/>
      <c r="D34" s="186"/>
      <c r="E34" s="185"/>
      <c r="F34" s="5"/>
      <c r="G34" s="133"/>
      <c r="H34" s="133"/>
    </row>
    <row r="35" ht="15.75" customHeight="1">
      <c r="A35" s="184"/>
      <c r="B35" s="5"/>
      <c r="C35" s="185"/>
      <c r="D35" s="186"/>
      <c r="E35" s="185"/>
      <c r="F35" s="5"/>
      <c r="G35" s="133"/>
      <c r="H35" s="133"/>
    </row>
    <row r="36" ht="15.75" customHeight="1">
      <c r="A36" s="184"/>
      <c r="B36" s="5"/>
      <c r="C36" s="185"/>
      <c r="D36" s="186"/>
      <c r="E36" s="185"/>
      <c r="F36" s="5"/>
      <c r="G36" s="133"/>
      <c r="H36" s="133"/>
    </row>
    <row r="37" ht="15.75" customHeight="1">
      <c r="A37" s="184"/>
      <c r="B37" s="5"/>
      <c r="C37" s="185"/>
      <c r="D37" s="186"/>
      <c r="E37" s="185"/>
      <c r="F37" s="5"/>
      <c r="G37" s="133"/>
      <c r="H37" s="133"/>
    </row>
    <row r="38" ht="15.75" customHeight="1">
      <c r="A38" s="184"/>
      <c r="B38" s="5"/>
      <c r="C38" s="185"/>
      <c r="D38" s="186"/>
      <c r="E38" s="185"/>
      <c r="F38" s="5"/>
      <c r="G38" s="133"/>
      <c r="H38" s="133"/>
    </row>
    <row r="39" ht="15.75" customHeight="1">
      <c r="A39" s="184"/>
      <c r="B39" s="5"/>
      <c r="C39" s="185"/>
      <c r="D39" s="186"/>
      <c r="E39" s="185"/>
      <c r="F39" s="5"/>
      <c r="G39" s="133"/>
      <c r="H39" s="133"/>
    </row>
    <row r="40" ht="15.75" customHeight="1">
      <c r="A40" s="184"/>
      <c r="B40" s="5"/>
      <c r="C40" s="185"/>
      <c r="D40" s="186"/>
      <c r="E40" s="185"/>
      <c r="F40" s="5"/>
      <c r="G40" s="133"/>
      <c r="H40" s="133"/>
    </row>
    <row r="41" ht="15.75" customHeight="1">
      <c r="A41" s="184"/>
      <c r="B41" s="5"/>
      <c r="C41" s="185"/>
      <c r="D41" s="186"/>
      <c r="E41" s="185"/>
      <c r="F41" s="5"/>
      <c r="G41" s="133"/>
      <c r="H41" s="133"/>
    </row>
    <row r="42" ht="15.75" customHeight="1">
      <c r="A42" s="184"/>
      <c r="B42" s="5"/>
      <c r="C42" s="185"/>
      <c r="D42" s="186"/>
      <c r="E42" s="185"/>
      <c r="F42" s="5"/>
      <c r="G42" s="133"/>
      <c r="H42" s="133"/>
    </row>
    <row r="43" ht="15.75" customHeight="1">
      <c r="A43" s="184"/>
      <c r="B43" s="5"/>
      <c r="C43" s="185"/>
      <c r="D43" s="186"/>
      <c r="E43" s="185"/>
      <c r="F43" s="5"/>
      <c r="G43" s="133"/>
      <c r="H43" s="133"/>
    </row>
    <row r="44" ht="15.75" customHeight="1">
      <c r="A44" s="184"/>
      <c r="B44" s="5"/>
      <c r="C44" s="185"/>
      <c r="D44" s="186"/>
      <c r="E44" s="185"/>
      <c r="F44" s="5"/>
      <c r="G44" s="133"/>
      <c r="H44" s="133"/>
    </row>
    <row r="45" ht="15.75" customHeight="1">
      <c r="A45" s="184"/>
      <c r="B45" s="5"/>
      <c r="C45" s="185"/>
      <c r="D45" s="186"/>
      <c r="E45" s="185"/>
      <c r="F45" s="5"/>
      <c r="G45" s="133"/>
      <c r="H45" s="133"/>
    </row>
    <row r="46" ht="15.75" customHeight="1">
      <c r="A46" s="184"/>
      <c r="B46" s="5"/>
      <c r="C46" s="185"/>
      <c r="D46" s="186"/>
      <c r="E46" s="185"/>
      <c r="F46" s="5"/>
      <c r="G46" s="133"/>
      <c r="H46" s="133"/>
    </row>
    <row r="47" ht="15.75" customHeight="1">
      <c r="A47" s="184"/>
      <c r="B47" s="5"/>
      <c r="C47" s="185"/>
      <c r="D47" s="186"/>
      <c r="E47" s="185"/>
      <c r="F47" s="5"/>
      <c r="G47" s="133"/>
      <c r="H47" s="133"/>
    </row>
    <row r="48" ht="15.75" customHeight="1">
      <c r="A48" s="184"/>
      <c r="B48" s="5"/>
      <c r="C48" s="185"/>
      <c r="D48" s="186"/>
      <c r="E48" s="185"/>
      <c r="F48" s="5"/>
      <c r="G48" s="133"/>
      <c r="H48" s="133"/>
    </row>
    <row r="49" ht="15.75" customHeight="1">
      <c r="A49" s="184"/>
      <c r="B49" s="5"/>
      <c r="C49" s="185"/>
      <c r="D49" s="186"/>
      <c r="E49" s="185"/>
      <c r="F49" s="5"/>
      <c r="G49" s="133"/>
      <c r="H49" s="133"/>
    </row>
    <row r="50" ht="15.75" customHeight="1">
      <c r="A50" s="184"/>
      <c r="B50" s="5"/>
      <c r="C50" s="185"/>
      <c r="D50" s="186"/>
      <c r="E50" s="185"/>
      <c r="F50" s="5"/>
      <c r="G50" s="133"/>
      <c r="H50" s="133"/>
    </row>
    <row r="51" ht="15.75" customHeight="1">
      <c r="A51" s="184"/>
      <c r="B51" s="5"/>
      <c r="C51" s="185"/>
      <c r="D51" s="186"/>
      <c r="E51" s="185"/>
      <c r="F51" s="5"/>
      <c r="G51" s="133"/>
      <c r="H51" s="133"/>
    </row>
    <row r="52" ht="15.75" customHeight="1">
      <c r="A52" s="184"/>
      <c r="B52" s="5"/>
      <c r="C52" s="185"/>
      <c r="D52" s="186"/>
      <c r="E52" s="185"/>
      <c r="F52" s="5"/>
      <c r="G52" s="133"/>
      <c r="H52" s="133"/>
    </row>
    <row r="53" ht="15.75" customHeight="1">
      <c r="A53" s="184"/>
      <c r="B53" s="5"/>
      <c r="C53" s="185"/>
      <c r="D53" s="186"/>
      <c r="E53" s="185"/>
      <c r="F53" s="5"/>
      <c r="G53" s="133"/>
      <c r="H53" s="133"/>
    </row>
    <row r="54" ht="15.75" customHeight="1">
      <c r="A54" s="184"/>
      <c r="B54" s="5"/>
      <c r="C54" s="185"/>
      <c r="D54" s="186"/>
      <c r="E54" s="185"/>
      <c r="F54" s="5"/>
      <c r="G54" s="133"/>
      <c r="H54" s="133"/>
    </row>
    <row r="55" ht="15.75" customHeight="1">
      <c r="A55" s="184"/>
      <c r="B55" s="5"/>
      <c r="C55" s="185"/>
      <c r="D55" s="186"/>
      <c r="E55" s="185"/>
      <c r="F55" s="5"/>
      <c r="G55" s="133"/>
      <c r="H55" s="133"/>
    </row>
    <row r="56" ht="15.75" customHeight="1">
      <c r="A56" s="184"/>
      <c r="B56" s="5"/>
      <c r="C56" s="185"/>
      <c r="D56" s="186"/>
      <c r="E56" s="185"/>
      <c r="F56" s="5"/>
      <c r="G56" s="133"/>
      <c r="H56" s="133"/>
    </row>
    <row r="57" ht="15.75" customHeight="1">
      <c r="A57" s="184"/>
      <c r="B57" s="5"/>
      <c r="C57" s="185"/>
      <c r="D57" s="186"/>
      <c r="E57" s="185"/>
      <c r="F57" s="5"/>
      <c r="G57" s="133"/>
      <c r="H57" s="133"/>
    </row>
    <row r="58" ht="15.75" customHeight="1">
      <c r="A58" s="184"/>
      <c r="B58" s="5"/>
      <c r="C58" s="185"/>
      <c r="D58" s="186"/>
      <c r="E58" s="185"/>
      <c r="F58" s="5"/>
      <c r="G58" s="133"/>
      <c r="H58" s="133"/>
    </row>
    <row r="59" ht="15.75" customHeight="1">
      <c r="A59" s="184"/>
      <c r="B59" s="5"/>
      <c r="C59" s="185"/>
      <c r="D59" s="186"/>
      <c r="E59" s="185"/>
      <c r="F59" s="5"/>
      <c r="G59" s="133"/>
      <c r="H59" s="133"/>
    </row>
    <row r="60" ht="15.75" customHeight="1">
      <c r="A60" s="184"/>
      <c r="B60" s="5"/>
      <c r="C60" s="185"/>
      <c r="D60" s="186"/>
      <c r="E60" s="185"/>
      <c r="F60" s="5"/>
      <c r="G60" s="133"/>
      <c r="H60" s="133"/>
    </row>
    <row r="61" ht="15.75" customHeight="1">
      <c r="A61" s="184"/>
      <c r="B61" s="5"/>
      <c r="C61" s="185"/>
      <c r="D61" s="186"/>
      <c r="E61" s="185"/>
      <c r="F61" s="5"/>
      <c r="G61" s="133"/>
      <c r="H61" s="133"/>
    </row>
    <row r="62" ht="15.75" customHeight="1">
      <c r="A62" s="184"/>
      <c r="B62" s="5"/>
      <c r="C62" s="185"/>
      <c r="D62" s="186"/>
      <c r="E62" s="185"/>
      <c r="F62" s="5"/>
      <c r="G62" s="133"/>
      <c r="H62" s="133"/>
    </row>
    <row r="63" ht="15.75" customHeight="1">
      <c r="A63" s="184"/>
      <c r="B63" s="5"/>
      <c r="C63" s="185"/>
      <c r="D63" s="186"/>
      <c r="E63" s="185"/>
      <c r="F63" s="5"/>
      <c r="G63" s="133"/>
      <c r="H63" s="133"/>
    </row>
    <row r="64" ht="15.75" customHeight="1">
      <c r="A64" s="184"/>
      <c r="B64" s="5"/>
      <c r="C64" s="185"/>
      <c r="D64" s="186"/>
      <c r="E64" s="185"/>
      <c r="F64" s="5"/>
      <c r="G64" s="133"/>
      <c r="H64" s="133"/>
    </row>
    <row r="65" ht="15.75" customHeight="1">
      <c r="A65" s="184"/>
      <c r="B65" s="5"/>
      <c r="C65" s="185"/>
      <c r="D65" s="186"/>
      <c r="E65" s="185"/>
      <c r="F65" s="5"/>
      <c r="G65" s="133"/>
      <c r="H65" s="133"/>
    </row>
    <row r="66" ht="15.75" customHeight="1">
      <c r="A66" s="184"/>
      <c r="B66" s="5"/>
      <c r="C66" s="185"/>
      <c r="D66" s="186"/>
      <c r="E66" s="185"/>
      <c r="F66" s="5"/>
      <c r="G66" s="133"/>
      <c r="H66" s="133"/>
    </row>
    <row r="67" ht="15.75" customHeight="1">
      <c r="A67" s="184"/>
      <c r="B67" s="5"/>
      <c r="C67" s="185"/>
      <c r="D67" s="186"/>
      <c r="E67" s="185"/>
      <c r="F67" s="5"/>
      <c r="G67" s="133"/>
      <c r="H67" s="133"/>
    </row>
    <row r="68" ht="15.75" customHeight="1">
      <c r="A68" s="184"/>
      <c r="B68" s="5"/>
      <c r="C68" s="185"/>
      <c r="D68" s="186"/>
      <c r="E68" s="185"/>
      <c r="F68" s="5"/>
      <c r="G68" s="133"/>
      <c r="H68" s="133"/>
    </row>
    <row r="69" ht="15.75" customHeight="1">
      <c r="A69" s="184"/>
      <c r="B69" s="5"/>
      <c r="C69" s="185"/>
      <c r="D69" s="186"/>
      <c r="E69" s="185"/>
      <c r="F69" s="5"/>
      <c r="G69" s="133"/>
      <c r="H69" s="133"/>
    </row>
    <row r="70" ht="15.75" customHeight="1">
      <c r="A70" s="184"/>
      <c r="B70" s="5"/>
      <c r="C70" s="185"/>
      <c r="D70" s="186"/>
      <c r="E70" s="185"/>
      <c r="F70" s="5"/>
      <c r="G70" s="133"/>
      <c r="H70" s="133"/>
    </row>
    <row r="71" ht="15.75" customHeight="1">
      <c r="A71" s="184"/>
      <c r="B71" s="5"/>
      <c r="C71" s="185"/>
      <c r="D71" s="186"/>
      <c r="E71" s="185"/>
      <c r="F71" s="5"/>
      <c r="G71" s="133"/>
      <c r="H71" s="133"/>
    </row>
    <row r="72" ht="15.75" customHeight="1">
      <c r="A72" s="184"/>
      <c r="B72" s="5"/>
      <c r="C72" s="185"/>
      <c r="D72" s="186"/>
      <c r="E72" s="185"/>
      <c r="F72" s="5"/>
      <c r="G72" s="133"/>
      <c r="H72" s="133"/>
    </row>
    <row r="73" ht="15.75" customHeight="1">
      <c r="A73" s="184"/>
      <c r="B73" s="5"/>
      <c r="C73" s="185"/>
      <c r="D73" s="186"/>
      <c r="E73" s="185"/>
      <c r="F73" s="5"/>
      <c r="G73" s="133"/>
      <c r="H73" s="133"/>
    </row>
    <row r="74" ht="15.75" customHeight="1">
      <c r="A74" s="184"/>
      <c r="B74" s="5"/>
      <c r="C74" s="185"/>
      <c r="D74" s="186"/>
      <c r="E74" s="185"/>
      <c r="F74" s="5"/>
      <c r="G74" s="133"/>
      <c r="H74" s="133"/>
    </row>
    <row r="75" ht="15.75" customHeight="1">
      <c r="A75" s="184"/>
      <c r="B75" s="5"/>
      <c r="C75" s="185"/>
      <c r="D75" s="186"/>
      <c r="E75" s="185"/>
      <c r="F75" s="5"/>
      <c r="G75" s="133"/>
      <c r="H75" s="133"/>
    </row>
    <row r="76" ht="15.75" customHeight="1">
      <c r="A76" s="184"/>
      <c r="B76" s="5"/>
      <c r="C76" s="185"/>
      <c r="D76" s="186"/>
      <c r="E76" s="185"/>
      <c r="F76" s="5"/>
      <c r="G76" s="133"/>
      <c r="H76" s="133"/>
    </row>
    <row r="77" ht="15.75" customHeight="1">
      <c r="A77" s="184"/>
      <c r="B77" s="5"/>
      <c r="C77" s="185"/>
      <c r="D77" s="186"/>
      <c r="E77" s="185"/>
      <c r="F77" s="5"/>
      <c r="G77" s="133"/>
      <c r="H77" s="133"/>
    </row>
    <row r="78" ht="15.75" customHeight="1">
      <c r="A78" s="184"/>
      <c r="B78" s="5"/>
      <c r="C78" s="185"/>
      <c r="D78" s="186"/>
      <c r="E78" s="185"/>
      <c r="F78" s="5"/>
      <c r="G78" s="133"/>
      <c r="H78" s="133"/>
    </row>
    <row r="79" ht="15.75" customHeight="1">
      <c r="A79" s="184"/>
      <c r="B79" s="5"/>
      <c r="C79" s="185"/>
      <c r="D79" s="186"/>
      <c r="E79" s="185"/>
      <c r="F79" s="5"/>
      <c r="G79" s="133"/>
      <c r="H79" s="133"/>
    </row>
    <row r="80" ht="15.75" customHeight="1">
      <c r="A80" s="184"/>
      <c r="B80" s="5"/>
      <c r="C80" s="185"/>
      <c r="D80" s="186"/>
      <c r="E80" s="185"/>
      <c r="F80" s="5"/>
      <c r="G80" s="133"/>
      <c r="H80" s="133"/>
    </row>
    <row r="81" ht="15.75" customHeight="1">
      <c r="A81" s="184"/>
      <c r="B81" s="5"/>
      <c r="C81" s="185"/>
      <c r="D81" s="186"/>
      <c r="E81" s="185"/>
      <c r="F81" s="5"/>
      <c r="G81" s="133"/>
      <c r="H81" s="133"/>
    </row>
    <row r="82" ht="15.75" customHeight="1">
      <c r="A82" s="184"/>
      <c r="B82" s="5"/>
      <c r="C82" s="185"/>
      <c r="D82" s="186"/>
      <c r="E82" s="185"/>
      <c r="F82" s="5"/>
      <c r="G82" s="133"/>
      <c r="H82" s="133"/>
    </row>
    <row r="83" ht="15.75" customHeight="1">
      <c r="A83" s="184"/>
      <c r="B83" s="5"/>
      <c r="C83" s="185"/>
      <c r="D83" s="186"/>
      <c r="E83" s="185"/>
      <c r="F83" s="5"/>
      <c r="G83" s="133"/>
      <c r="H83" s="133"/>
    </row>
    <row r="84" ht="15.75" customHeight="1">
      <c r="A84" s="184"/>
      <c r="B84" s="5"/>
      <c r="C84" s="185"/>
      <c r="D84" s="186"/>
      <c r="E84" s="185"/>
      <c r="F84" s="5"/>
      <c r="G84" s="133"/>
      <c r="H84" s="133"/>
    </row>
    <row r="85" ht="15.75" customHeight="1">
      <c r="A85" s="184"/>
      <c r="B85" s="5"/>
      <c r="C85" s="185"/>
      <c r="D85" s="186"/>
      <c r="E85" s="185"/>
      <c r="F85" s="5"/>
      <c r="G85" s="133"/>
      <c r="H85" s="133"/>
    </row>
    <row r="86" ht="15.75" customHeight="1">
      <c r="A86" s="184"/>
      <c r="B86" s="5"/>
      <c r="C86" s="185"/>
      <c r="D86" s="186"/>
      <c r="E86" s="185"/>
      <c r="F86" s="5"/>
      <c r="G86" s="133"/>
      <c r="H86" s="133"/>
    </row>
    <row r="87" ht="15.75" customHeight="1">
      <c r="A87" s="184"/>
      <c r="B87" s="5"/>
      <c r="C87" s="185"/>
      <c r="D87" s="186"/>
      <c r="E87" s="185"/>
      <c r="F87" s="5"/>
      <c r="G87" s="133"/>
      <c r="H87" s="133"/>
    </row>
    <row r="88" ht="15.75" customHeight="1">
      <c r="A88" s="184"/>
      <c r="B88" s="5"/>
      <c r="C88" s="185"/>
      <c r="D88" s="186"/>
      <c r="E88" s="185"/>
      <c r="F88" s="5"/>
      <c r="G88" s="133"/>
      <c r="H88" s="133"/>
    </row>
    <row r="89" ht="15.75" customHeight="1">
      <c r="A89" s="184"/>
      <c r="B89" s="5"/>
      <c r="C89" s="185"/>
      <c r="D89" s="186"/>
      <c r="E89" s="185"/>
      <c r="F89" s="5"/>
      <c r="G89" s="133"/>
      <c r="H89" s="133"/>
    </row>
    <row r="90" ht="15.75" customHeight="1">
      <c r="A90" s="184"/>
      <c r="B90" s="5"/>
      <c r="C90" s="185"/>
      <c r="D90" s="186"/>
      <c r="E90" s="185"/>
      <c r="F90" s="5"/>
      <c r="G90" s="133"/>
      <c r="H90" s="133"/>
    </row>
    <row r="91" ht="15.75" customHeight="1">
      <c r="A91" s="184"/>
      <c r="B91" s="5"/>
      <c r="C91" s="185"/>
      <c r="D91" s="186"/>
      <c r="E91" s="185"/>
      <c r="F91" s="5"/>
      <c r="G91" s="133"/>
      <c r="H91" s="133"/>
    </row>
    <row r="92" ht="15.75" customHeight="1">
      <c r="A92" s="184"/>
      <c r="B92" s="5"/>
      <c r="C92" s="185"/>
      <c r="D92" s="186"/>
      <c r="E92" s="185"/>
      <c r="F92" s="5"/>
      <c r="G92" s="133"/>
      <c r="H92" s="133"/>
    </row>
    <row r="93" ht="15.75" customHeight="1">
      <c r="A93" s="184"/>
      <c r="B93" s="5"/>
      <c r="C93" s="185"/>
      <c r="D93" s="186"/>
      <c r="E93" s="185"/>
      <c r="F93" s="5"/>
      <c r="G93" s="133"/>
      <c r="H93" s="133"/>
    </row>
    <row r="94" ht="15.75" customHeight="1">
      <c r="A94" s="184"/>
      <c r="B94" s="5"/>
      <c r="C94" s="185"/>
      <c r="D94" s="186"/>
      <c r="E94" s="185"/>
      <c r="F94" s="5"/>
      <c r="G94" s="133"/>
      <c r="H94" s="133"/>
    </row>
    <row r="95" ht="15.75" customHeight="1">
      <c r="A95" s="184"/>
      <c r="B95" s="5"/>
      <c r="C95" s="185"/>
      <c r="D95" s="186"/>
      <c r="E95" s="185"/>
      <c r="F95" s="5"/>
      <c r="G95" s="133"/>
      <c r="H95" s="133"/>
    </row>
    <row r="96" ht="15.75" customHeight="1">
      <c r="A96" s="184"/>
      <c r="B96" s="5"/>
      <c r="C96" s="185"/>
      <c r="D96" s="186"/>
      <c r="E96" s="185"/>
      <c r="F96" s="5"/>
      <c r="G96" s="133"/>
      <c r="H96" s="133"/>
    </row>
    <row r="97" ht="15.75" customHeight="1">
      <c r="A97" s="184"/>
      <c r="B97" s="5"/>
      <c r="C97" s="185"/>
      <c r="D97" s="186"/>
      <c r="E97" s="185"/>
      <c r="F97" s="5"/>
      <c r="G97" s="133"/>
      <c r="H97" s="133"/>
    </row>
    <row r="98" ht="15.75" customHeight="1">
      <c r="A98" s="184"/>
      <c r="B98" s="5"/>
      <c r="C98" s="185"/>
      <c r="D98" s="186"/>
      <c r="E98" s="185"/>
      <c r="F98" s="5"/>
      <c r="G98" s="133"/>
      <c r="H98" s="133"/>
    </row>
    <row r="99" ht="15.75" customHeight="1">
      <c r="A99" s="184"/>
      <c r="B99" s="5"/>
      <c r="C99" s="185"/>
      <c r="D99" s="186"/>
      <c r="E99" s="185"/>
      <c r="F99" s="5"/>
      <c r="G99" s="133"/>
      <c r="H99" s="133"/>
    </row>
    <row r="100" ht="15.75" customHeight="1">
      <c r="A100" s="184"/>
      <c r="B100" s="5"/>
      <c r="C100" s="185"/>
      <c r="D100" s="186"/>
      <c r="E100" s="185"/>
      <c r="F100" s="5"/>
      <c r="G100" s="133"/>
      <c r="H100" s="133"/>
    </row>
    <row r="101" ht="15.75" customHeight="1">
      <c r="A101" s="184"/>
      <c r="B101" s="5"/>
      <c r="C101" s="185"/>
      <c r="D101" s="186"/>
      <c r="E101" s="185"/>
      <c r="F101" s="5"/>
      <c r="G101" s="133"/>
      <c r="H101" s="133"/>
    </row>
    <row r="102" ht="15.75" customHeight="1">
      <c r="A102" s="184"/>
      <c r="B102" s="5"/>
      <c r="C102" s="185"/>
      <c r="D102" s="186"/>
      <c r="E102" s="185"/>
      <c r="F102" s="5"/>
      <c r="G102" s="133"/>
      <c r="H102" s="133"/>
    </row>
    <row r="103" ht="15.75" customHeight="1">
      <c r="A103" s="184"/>
      <c r="B103" s="5"/>
      <c r="C103" s="185"/>
      <c r="D103" s="186"/>
      <c r="E103" s="185"/>
      <c r="F103" s="5"/>
      <c r="G103" s="133"/>
      <c r="H103" s="133"/>
    </row>
    <row r="104" ht="15.75" customHeight="1">
      <c r="A104" s="184"/>
      <c r="B104" s="5"/>
      <c r="C104" s="185"/>
      <c r="D104" s="186"/>
      <c r="E104" s="185"/>
      <c r="F104" s="5"/>
      <c r="G104" s="133"/>
      <c r="H104" s="133"/>
    </row>
    <row r="105" ht="15.75" customHeight="1">
      <c r="A105" s="184"/>
      <c r="B105" s="5"/>
      <c r="C105" s="185"/>
      <c r="D105" s="186"/>
      <c r="E105" s="185"/>
      <c r="F105" s="5"/>
      <c r="G105" s="133"/>
      <c r="H105" s="133"/>
    </row>
    <row r="106" ht="15.75" customHeight="1">
      <c r="A106" s="184"/>
      <c r="B106" s="5"/>
      <c r="C106" s="185"/>
      <c r="D106" s="186"/>
      <c r="E106" s="185"/>
      <c r="F106" s="5"/>
      <c r="G106" s="133"/>
      <c r="H106" s="133"/>
    </row>
    <row r="107" ht="15.75" customHeight="1">
      <c r="A107" s="184"/>
      <c r="B107" s="5"/>
      <c r="C107" s="185"/>
      <c r="D107" s="186"/>
      <c r="E107" s="185"/>
      <c r="F107" s="5"/>
      <c r="G107" s="133"/>
      <c r="H107" s="133"/>
    </row>
    <row r="108" ht="15.75" customHeight="1">
      <c r="A108" s="184"/>
      <c r="B108" s="5"/>
      <c r="C108" s="185"/>
      <c r="D108" s="186"/>
      <c r="E108" s="185"/>
      <c r="F108" s="5"/>
      <c r="G108" s="133"/>
      <c r="H108" s="133"/>
    </row>
    <row r="109" ht="15.75" customHeight="1">
      <c r="A109" s="184"/>
      <c r="B109" s="5"/>
      <c r="C109" s="185"/>
      <c r="D109" s="186"/>
      <c r="E109" s="185"/>
      <c r="F109" s="5"/>
      <c r="G109" s="133"/>
      <c r="H109" s="133"/>
    </row>
    <row r="110" ht="15.75" customHeight="1">
      <c r="A110" s="184"/>
      <c r="B110" s="5"/>
      <c r="C110" s="185"/>
      <c r="D110" s="186"/>
      <c r="E110" s="185"/>
      <c r="F110" s="5"/>
      <c r="G110" s="133"/>
      <c r="H110" s="133"/>
    </row>
    <row r="111" ht="15.75" customHeight="1">
      <c r="A111" s="184"/>
      <c r="B111" s="5"/>
      <c r="C111" s="185"/>
      <c r="D111" s="186"/>
      <c r="E111" s="185"/>
      <c r="F111" s="5"/>
      <c r="G111" s="133"/>
      <c r="H111" s="133"/>
    </row>
    <row r="112" ht="15.75" customHeight="1">
      <c r="A112" s="184"/>
      <c r="B112" s="5"/>
      <c r="C112" s="185"/>
      <c r="D112" s="186"/>
      <c r="E112" s="185"/>
      <c r="F112" s="5"/>
      <c r="G112" s="133"/>
      <c r="H112" s="133"/>
    </row>
    <row r="113" ht="15.75" customHeight="1">
      <c r="A113" s="184"/>
      <c r="B113" s="5"/>
      <c r="C113" s="185"/>
      <c r="D113" s="186"/>
      <c r="E113" s="185"/>
      <c r="F113" s="5"/>
      <c r="G113" s="133"/>
      <c r="H113" s="133"/>
    </row>
    <row r="114" ht="15.75" customHeight="1">
      <c r="A114" s="184"/>
      <c r="B114" s="5"/>
      <c r="C114" s="185"/>
      <c r="D114" s="186"/>
      <c r="E114" s="185"/>
      <c r="F114" s="5"/>
      <c r="G114" s="133"/>
      <c r="H114" s="133"/>
    </row>
    <row r="115" ht="15.75" customHeight="1">
      <c r="A115" s="184"/>
      <c r="B115" s="5"/>
      <c r="C115" s="185"/>
      <c r="D115" s="186"/>
      <c r="E115" s="185"/>
      <c r="F115" s="5"/>
      <c r="G115" s="133"/>
      <c r="H115" s="133"/>
    </row>
    <row r="116" ht="15.75" customHeight="1">
      <c r="A116" s="184"/>
      <c r="B116" s="5"/>
      <c r="C116" s="185"/>
      <c r="D116" s="186"/>
      <c r="E116" s="185"/>
      <c r="F116" s="5"/>
      <c r="G116" s="133"/>
      <c r="H116" s="133"/>
    </row>
    <row r="117" ht="15.75" customHeight="1">
      <c r="A117" s="184"/>
      <c r="B117" s="5"/>
      <c r="C117" s="185"/>
      <c r="D117" s="186"/>
      <c r="E117" s="185"/>
      <c r="F117" s="5"/>
      <c r="G117" s="133"/>
      <c r="H117" s="133"/>
    </row>
    <row r="118" ht="15.75" customHeight="1">
      <c r="A118" s="184"/>
      <c r="B118" s="5"/>
      <c r="C118" s="185"/>
      <c r="D118" s="186"/>
      <c r="E118" s="185"/>
      <c r="F118" s="5"/>
      <c r="G118" s="133"/>
      <c r="H118" s="133"/>
    </row>
    <row r="119" ht="15.75" customHeight="1">
      <c r="A119" s="184"/>
      <c r="B119" s="5"/>
      <c r="C119" s="185"/>
      <c r="D119" s="186"/>
      <c r="E119" s="185"/>
      <c r="F119" s="5"/>
      <c r="G119" s="133"/>
      <c r="H119" s="133"/>
    </row>
    <row r="120" ht="15.75" customHeight="1">
      <c r="A120" s="184"/>
      <c r="B120" s="5"/>
      <c r="C120" s="185"/>
      <c r="D120" s="186"/>
      <c r="E120" s="185"/>
      <c r="F120" s="5"/>
      <c r="G120" s="133"/>
      <c r="H120" s="133"/>
    </row>
    <row r="121" ht="15.75" customHeight="1">
      <c r="A121" s="184"/>
      <c r="B121" s="5"/>
      <c r="C121" s="185"/>
      <c r="D121" s="186"/>
      <c r="E121" s="185"/>
      <c r="F121" s="5"/>
      <c r="G121" s="133"/>
      <c r="H121" s="133"/>
    </row>
    <row r="122" ht="15.75" customHeight="1">
      <c r="A122" s="184"/>
      <c r="B122" s="5"/>
      <c r="C122" s="185"/>
      <c r="D122" s="186"/>
      <c r="E122" s="185"/>
      <c r="F122" s="5"/>
      <c r="G122" s="133"/>
      <c r="H122" s="133"/>
    </row>
    <row r="123" ht="15.75" customHeight="1">
      <c r="A123" s="184"/>
      <c r="B123" s="5"/>
      <c r="C123" s="185"/>
      <c r="D123" s="186"/>
      <c r="E123" s="185"/>
      <c r="F123" s="5"/>
      <c r="G123" s="133"/>
      <c r="H123" s="133"/>
    </row>
    <row r="124" ht="15.75" customHeight="1">
      <c r="A124" s="184"/>
      <c r="B124" s="5"/>
      <c r="C124" s="185"/>
      <c r="D124" s="186"/>
      <c r="E124" s="185"/>
      <c r="F124" s="5"/>
      <c r="G124" s="133"/>
      <c r="H124" s="133"/>
    </row>
    <row r="125" ht="15.75" customHeight="1">
      <c r="A125" s="184"/>
      <c r="B125" s="5"/>
      <c r="C125" s="185"/>
      <c r="D125" s="186"/>
      <c r="E125" s="185"/>
      <c r="F125" s="5"/>
      <c r="G125" s="133"/>
      <c r="H125" s="133"/>
    </row>
    <row r="126" ht="15.75" customHeight="1">
      <c r="A126" s="184"/>
      <c r="B126" s="5"/>
      <c r="C126" s="185"/>
      <c r="D126" s="186"/>
      <c r="E126" s="185"/>
      <c r="F126" s="5"/>
      <c r="G126" s="133"/>
      <c r="H126" s="133"/>
    </row>
    <row r="127" ht="15.75" customHeight="1">
      <c r="A127" s="184"/>
      <c r="B127" s="5"/>
      <c r="C127" s="185"/>
      <c r="D127" s="186"/>
      <c r="E127" s="185"/>
      <c r="F127" s="5"/>
      <c r="G127" s="133"/>
      <c r="H127" s="133"/>
    </row>
    <row r="128" ht="15.75" customHeight="1">
      <c r="A128" s="184"/>
      <c r="B128" s="5"/>
      <c r="C128" s="185"/>
      <c r="D128" s="186"/>
      <c r="E128" s="185"/>
      <c r="F128" s="5"/>
      <c r="G128" s="133"/>
      <c r="H128" s="133"/>
    </row>
    <row r="129" ht="15.75" customHeight="1">
      <c r="A129" s="184"/>
      <c r="B129" s="5"/>
      <c r="C129" s="185"/>
      <c r="D129" s="186"/>
      <c r="E129" s="185"/>
      <c r="F129" s="5"/>
      <c r="G129" s="133"/>
      <c r="H129" s="133"/>
    </row>
    <row r="130" ht="15.75" customHeight="1">
      <c r="A130" s="184"/>
      <c r="B130" s="5"/>
      <c r="C130" s="185"/>
      <c r="D130" s="186"/>
      <c r="E130" s="185"/>
      <c r="F130" s="5"/>
      <c r="G130" s="133"/>
      <c r="H130" s="133"/>
    </row>
    <row r="131" ht="15.75" customHeight="1">
      <c r="A131" s="184"/>
      <c r="B131" s="5"/>
      <c r="C131" s="185"/>
      <c r="D131" s="186"/>
      <c r="E131" s="185"/>
      <c r="F131" s="5"/>
      <c r="G131" s="133"/>
      <c r="H131" s="133"/>
    </row>
    <row r="132" ht="15.75" customHeight="1">
      <c r="A132" s="184"/>
      <c r="B132" s="5"/>
      <c r="C132" s="185"/>
      <c r="D132" s="186"/>
      <c r="E132" s="185"/>
      <c r="F132" s="5"/>
      <c r="G132" s="133"/>
      <c r="H132" s="133"/>
    </row>
    <row r="133" ht="15.75" customHeight="1">
      <c r="A133" s="184"/>
      <c r="B133" s="5"/>
      <c r="C133" s="185"/>
      <c r="D133" s="186"/>
      <c r="E133" s="185"/>
      <c r="F133" s="5"/>
      <c r="G133" s="133"/>
      <c r="H133" s="133"/>
    </row>
    <row r="134" ht="15.75" customHeight="1">
      <c r="A134" s="184"/>
      <c r="B134" s="5"/>
      <c r="C134" s="185"/>
      <c r="D134" s="186"/>
      <c r="E134" s="185"/>
      <c r="F134" s="5"/>
      <c r="G134" s="133"/>
      <c r="H134" s="133"/>
    </row>
    <row r="135" ht="15.75" customHeight="1">
      <c r="A135" s="184"/>
      <c r="B135" s="5"/>
      <c r="C135" s="185"/>
      <c r="D135" s="186"/>
      <c r="E135" s="185"/>
      <c r="F135" s="5"/>
      <c r="G135" s="133"/>
      <c r="H135" s="133"/>
    </row>
    <row r="136" ht="15.75" customHeight="1">
      <c r="A136" s="184"/>
      <c r="B136" s="5"/>
      <c r="C136" s="185"/>
      <c r="D136" s="186"/>
      <c r="E136" s="185"/>
      <c r="F136" s="5"/>
      <c r="G136" s="133"/>
      <c r="H136" s="133"/>
    </row>
    <row r="137" ht="15.75" customHeight="1">
      <c r="A137" s="184"/>
      <c r="B137" s="5"/>
      <c r="C137" s="185"/>
      <c r="D137" s="186"/>
      <c r="E137" s="185"/>
      <c r="F137" s="5"/>
      <c r="G137" s="133"/>
      <c r="H137" s="133"/>
    </row>
    <row r="138" ht="15.75" customHeight="1">
      <c r="A138" s="184"/>
      <c r="B138" s="5"/>
      <c r="C138" s="185"/>
      <c r="D138" s="186"/>
      <c r="E138" s="185"/>
      <c r="F138" s="5"/>
      <c r="G138" s="133"/>
      <c r="H138" s="133"/>
    </row>
    <row r="139" ht="15.75" customHeight="1">
      <c r="A139" s="184"/>
      <c r="B139" s="5"/>
      <c r="C139" s="185"/>
      <c r="D139" s="186"/>
      <c r="E139" s="185"/>
      <c r="F139" s="5"/>
      <c r="G139" s="133"/>
      <c r="H139" s="133"/>
    </row>
    <row r="140" ht="15.75" customHeight="1">
      <c r="A140" s="184"/>
      <c r="B140" s="5"/>
      <c r="C140" s="185"/>
      <c r="D140" s="186"/>
      <c r="E140" s="185"/>
      <c r="F140" s="5"/>
      <c r="G140" s="133"/>
      <c r="H140" s="133"/>
    </row>
    <row r="141" ht="15.75" customHeight="1">
      <c r="A141" s="184"/>
      <c r="B141" s="5"/>
      <c r="C141" s="185"/>
      <c r="D141" s="186"/>
      <c r="E141" s="185"/>
      <c r="F141" s="5"/>
      <c r="G141" s="133"/>
      <c r="H141" s="133"/>
    </row>
    <row r="142" ht="15.75" customHeight="1">
      <c r="A142" s="184"/>
      <c r="B142" s="5"/>
      <c r="C142" s="185"/>
      <c r="D142" s="186"/>
      <c r="E142" s="185"/>
      <c r="F142" s="5"/>
      <c r="G142" s="133"/>
      <c r="H142" s="133"/>
    </row>
    <row r="143" ht="15.75" customHeight="1">
      <c r="A143" s="184"/>
      <c r="B143" s="5"/>
      <c r="C143" s="185"/>
      <c r="D143" s="186"/>
      <c r="E143" s="185"/>
      <c r="F143" s="5"/>
      <c r="G143" s="133"/>
      <c r="H143" s="133"/>
    </row>
    <row r="144" ht="15.75" customHeight="1">
      <c r="A144" s="184"/>
      <c r="B144" s="5"/>
      <c r="C144" s="185"/>
      <c r="D144" s="186"/>
      <c r="E144" s="185"/>
      <c r="F144" s="5"/>
      <c r="G144" s="133"/>
      <c r="H144" s="133"/>
    </row>
    <row r="145" ht="15.75" customHeight="1">
      <c r="A145" s="184"/>
      <c r="B145" s="5"/>
      <c r="C145" s="185"/>
      <c r="D145" s="186"/>
      <c r="E145" s="185"/>
      <c r="F145" s="5"/>
      <c r="G145" s="133"/>
      <c r="H145" s="133"/>
    </row>
    <row r="146" ht="15.75" customHeight="1">
      <c r="A146" s="184"/>
      <c r="B146" s="5"/>
      <c r="C146" s="185"/>
      <c r="D146" s="186"/>
      <c r="E146" s="185"/>
      <c r="F146" s="5"/>
      <c r="G146" s="133"/>
      <c r="H146" s="133"/>
    </row>
    <row r="147" ht="15.75" customHeight="1">
      <c r="A147" s="184"/>
      <c r="B147" s="5"/>
      <c r="C147" s="185"/>
      <c r="D147" s="186"/>
      <c r="E147" s="185"/>
      <c r="F147" s="5"/>
      <c r="G147" s="133"/>
      <c r="H147" s="133"/>
    </row>
    <row r="148" ht="15.75" customHeight="1">
      <c r="A148" s="184"/>
      <c r="B148" s="5"/>
      <c r="C148" s="185"/>
      <c r="D148" s="186"/>
      <c r="E148" s="185"/>
      <c r="F148" s="5"/>
      <c r="G148" s="133"/>
      <c r="H148" s="133"/>
    </row>
    <row r="149" ht="15.75" customHeight="1">
      <c r="A149" s="184"/>
      <c r="B149" s="5"/>
      <c r="C149" s="185"/>
      <c r="D149" s="186"/>
      <c r="E149" s="185"/>
      <c r="F149" s="5"/>
      <c r="G149" s="133"/>
      <c r="H149" s="133"/>
    </row>
    <row r="150" ht="15.75" customHeight="1">
      <c r="A150" s="184"/>
      <c r="B150" s="5"/>
      <c r="C150" s="185"/>
      <c r="D150" s="186"/>
      <c r="E150" s="185"/>
      <c r="F150" s="5"/>
      <c r="G150" s="133"/>
      <c r="H150" s="133"/>
    </row>
    <row r="151" ht="15.75" customHeight="1">
      <c r="A151" s="184"/>
      <c r="B151" s="5"/>
      <c r="C151" s="185"/>
      <c r="D151" s="186"/>
      <c r="E151" s="185"/>
      <c r="F151" s="5"/>
      <c r="G151" s="133"/>
      <c r="H151" s="133"/>
    </row>
    <row r="152" ht="15.75" customHeight="1">
      <c r="A152" s="184"/>
      <c r="B152" s="5"/>
      <c r="C152" s="185"/>
      <c r="D152" s="186"/>
      <c r="E152" s="185"/>
      <c r="F152" s="5"/>
      <c r="G152" s="133"/>
      <c r="H152" s="133"/>
    </row>
    <row r="153" ht="15.75" customHeight="1">
      <c r="A153" s="184"/>
      <c r="B153" s="5"/>
      <c r="C153" s="185"/>
      <c r="D153" s="186"/>
      <c r="E153" s="185"/>
      <c r="F153" s="5"/>
      <c r="G153" s="133"/>
      <c r="H153" s="133"/>
    </row>
    <row r="154" ht="15.75" customHeight="1">
      <c r="A154" s="184"/>
      <c r="B154" s="5"/>
      <c r="C154" s="185"/>
      <c r="D154" s="186"/>
      <c r="E154" s="185"/>
      <c r="F154" s="5"/>
      <c r="G154" s="133"/>
      <c r="H154" s="133"/>
    </row>
    <row r="155" ht="15.75" customHeight="1">
      <c r="A155" s="184"/>
      <c r="B155" s="5"/>
      <c r="C155" s="185"/>
      <c r="D155" s="186"/>
      <c r="E155" s="185"/>
      <c r="F155" s="5"/>
      <c r="G155" s="133"/>
      <c r="H155" s="133"/>
    </row>
    <row r="156" ht="15.75" customHeight="1">
      <c r="A156" s="184"/>
      <c r="B156" s="5"/>
      <c r="C156" s="185"/>
      <c r="D156" s="186"/>
      <c r="E156" s="185"/>
      <c r="F156" s="5"/>
      <c r="G156" s="133"/>
      <c r="H156" s="133"/>
    </row>
    <row r="157" ht="15.75" customHeight="1">
      <c r="A157" s="184"/>
      <c r="B157" s="5"/>
      <c r="C157" s="185"/>
      <c r="D157" s="186"/>
      <c r="E157" s="185"/>
      <c r="F157" s="5"/>
      <c r="G157" s="133"/>
      <c r="H157" s="133"/>
    </row>
    <row r="158" ht="15.75" customHeight="1">
      <c r="A158" s="184"/>
      <c r="B158" s="5"/>
      <c r="C158" s="185"/>
      <c r="D158" s="186"/>
      <c r="E158" s="185"/>
      <c r="F158" s="5"/>
      <c r="G158" s="133"/>
      <c r="H158" s="133"/>
    </row>
    <row r="159" ht="15.75" customHeight="1">
      <c r="A159" s="184"/>
      <c r="B159" s="5"/>
      <c r="C159" s="185"/>
      <c r="D159" s="186"/>
      <c r="E159" s="185"/>
      <c r="F159" s="5"/>
      <c r="G159" s="133"/>
      <c r="H159" s="133"/>
    </row>
    <row r="160" ht="15.75" customHeight="1">
      <c r="A160" s="184"/>
      <c r="B160" s="5"/>
      <c r="C160" s="185"/>
      <c r="D160" s="186"/>
      <c r="E160" s="185"/>
      <c r="F160" s="5"/>
      <c r="G160" s="133"/>
      <c r="H160" s="133"/>
    </row>
    <row r="161" ht="15.75" customHeight="1">
      <c r="A161" s="184"/>
      <c r="B161" s="5"/>
      <c r="C161" s="185"/>
      <c r="D161" s="186"/>
      <c r="E161" s="185"/>
      <c r="F161" s="5"/>
      <c r="G161" s="133"/>
      <c r="H161" s="133"/>
    </row>
    <row r="162" ht="15.75" customHeight="1">
      <c r="A162" s="184"/>
      <c r="B162" s="5"/>
      <c r="C162" s="185"/>
      <c r="D162" s="186"/>
      <c r="E162" s="185"/>
      <c r="F162" s="5"/>
      <c r="G162" s="133"/>
      <c r="H162" s="133"/>
    </row>
    <row r="163" ht="15.75" customHeight="1">
      <c r="A163" s="184"/>
      <c r="B163" s="5"/>
      <c r="C163" s="185"/>
      <c r="D163" s="186"/>
      <c r="E163" s="185"/>
      <c r="F163" s="5"/>
      <c r="G163" s="133"/>
      <c r="H163" s="133"/>
    </row>
    <row r="164" ht="15.75" customHeight="1">
      <c r="A164" s="184"/>
      <c r="B164" s="5"/>
      <c r="C164" s="185"/>
      <c r="D164" s="186"/>
      <c r="E164" s="185"/>
      <c r="F164" s="5"/>
      <c r="G164" s="133"/>
      <c r="H164" s="133"/>
    </row>
    <row r="165" ht="15.75" customHeight="1">
      <c r="A165" s="184"/>
      <c r="B165" s="5"/>
      <c r="C165" s="185"/>
      <c r="D165" s="186"/>
      <c r="E165" s="185"/>
      <c r="F165" s="5"/>
      <c r="G165" s="133"/>
      <c r="H165" s="133"/>
    </row>
    <row r="166" ht="15.75" customHeight="1">
      <c r="A166" s="184"/>
      <c r="B166" s="5"/>
      <c r="C166" s="185"/>
      <c r="D166" s="186"/>
      <c r="E166" s="185"/>
      <c r="F166" s="5"/>
      <c r="G166" s="133"/>
      <c r="H166" s="133"/>
    </row>
    <row r="167" ht="15.75" customHeight="1">
      <c r="A167" s="184"/>
      <c r="B167" s="5"/>
      <c r="C167" s="185"/>
      <c r="D167" s="186"/>
      <c r="E167" s="185"/>
      <c r="F167" s="5"/>
      <c r="G167" s="133"/>
      <c r="H167" s="133"/>
    </row>
    <row r="168" ht="15.75" customHeight="1">
      <c r="A168" s="184"/>
      <c r="B168" s="5"/>
      <c r="C168" s="185"/>
      <c r="D168" s="186"/>
      <c r="E168" s="185"/>
      <c r="F168" s="5"/>
      <c r="G168" s="133"/>
      <c r="H168" s="133"/>
    </row>
    <row r="169" ht="15.75" customHeight="1">
      <c r="A169" s="184"/>
      <c r="B169" s="5"/>
      <c r="C169" s="185"/>
      <c r="D169" s="186"/>
      <c r="E169" s="185"/>
      <c r="F169" s="5"/>
      <c r="G169" s="133"/>
      <c r="H169" s="133"/>
    </row>
    <row r="170" ht="15.75" customHeight="1">
      <c r="A170" s="184"/>
      <c r="B170" s="5"/>
      <c r="C170" s="185"/>
      <c r="D170" s="186"/>
      <c r="E170" s="185"/>
      <c r="F170" s="5"/>
      <c r="G170" s="133"/>
      <c r="H170" s="133"/>
    </row>
    <row r="171" ht="15.75" customHeight="1">
      <c r="A171" s="184"/>
      <c r="B171" s="5"/>
      <c r="C171" s="185"/>
      <c r="D171" s="186"/>
      <c r="E171" s="185"/>
      <c r="F171" s="5"/>
      <c r="G171" s="133"/>
      <c r="H171" s="133"/>
    </row>
    <row r="172" ht="15.75" customHeight="1">
      <c r="A172" s="184"/>
      <c r="B172" s="5"/>
      <c r="C172" s="185"/>
      <c r="D172" s="186"/>
      <c r="E172" s="185"/>
      <c r="F172" s="5"/>
      <c r="G172" s="133"/>
      <c r="H172" s="133"/>
    </row>
    <row r="173" ht="15.75" customHeight="1">
      <c r="A173" s="184"/>
      <c r="B173" s="5"/>
      <c r="C173" s="185"/>
      <c r="D173" s="186"/>
      <c r="E173" s="185"/>
      <c r="F173" s="5"/>
      <c r="G173" s="133"/>
      <c r="H173" s="133"/>
    </row>
    <row r="174" ht="15.75" customHeight="1">
      <c r="A174" s="184"/>
      <c r="B174" s="5"/>
      <c r="C174" s="185"/>
      <c r="D174" s="186"/>
      <c r="E174" s="185"/>
      <c r="F174" s="5"/>
      <c r="G174" s="133"/>
      <c r="H174" s="133"/>
    </row>
    <row r="175" ht="15.75" customHeight="1">
      <c r="A175" s="184"/>
      <c r="B175" s="5"/>
      <c r="C175" s="185"/>
      <c r="D175" s="186"/>
      <c r="E175" s="185"/>
      <c r="F175" s="5"/>
      <c r="G175" s="133"/>
      <c r="H175" s="133"/>
    </row>
    <row r="176" ht="15.75" customHeight="1">
      <c r="A176" s="184"/>
      <c r="B176" s="5"/>
      <c r="C176" s="185"/>
      <c r="D176" s="186"/>
      <c r="E176" s="185"/>
      <c r="F176" s="5"/>
      <c r="G176" s="133"/>
      <c r="H176" s="133"/>
    </row>
    <row r="177" ht="15.75" customHeight="1">
      <c r="A177" s="184"/>
      <c r="B177" s="5"/>
      <c r="C177" s="185"/>
      <c r="D177" s="186"/>
      <c r="E177" s="185"/>
      <c r="F177" s="5"/>
      <c r="G177" s="133"/>
      <c r="H177" s="133"/>
    </row>
    <row r="178" ht="15.75" customHeight="1">
      <c r="A178" s="184"/>
      <c r="B178" s="5"/>
      <c r="C178" s="185"/>
      <c r="D178" s="186"/>
      <c r="E178" s="185"/>
      <c r="F178" s="5"/>
      <c r="G178" s="133"/>
      <c r="H178" s="133"/>
    </row>
    <row r="179" ht="15.75" customHeight="1">
      <c r="A179" s="184"/>
      <c r="B179" s="5"/>
      <c r="C179" s="185"/>
      <c r="D179" s="186"/>
      <c r="E179" s="185"/>
      <c r="F179" s="5"/>
      <c r="G179" s="133"/>
      <c r="H179" s="133"/>
    </row>
    <row r="180" ht="15.75" customHeight="1">
      <c r="A180" s="184"/>
      <c r="B180" s="5"/>
      <c r="C180" s="185"/>
      <c r="D180" s="186"/>
      <c r="E180" s="185"/>
      <c r="F180" s="5"/>
      <c r="G180" s="133"/>
      <c r="H180" s="133"/>
    </row>
    <row r="181" ht="15.75" customHeight="1">
      <c r="A181" s="184"/>
      <c r="B181" s="5"/>
      <c r="C181" s="185"/>
      <c r="D181" s="186"/>
      <c r="E181" s="185"/>
      <c r="F181" s="5"/>
      <c r="G181" s="133"/>
      <c r="H181" s="133"/>
    </row>
    <row r="182" ht="15.75" customHeight="1">
      <c r="A182" s="184"/>
      <c r="B182" s="5"/>
      <c r="C182" s="185"/>
      <c r="D182" s="186"/>
      <c r="E182" s="185"/>
      <c r="F182" s="5"/>
      <c r="G182" s="133"/>
      <c r="H182" s="133"/>
    </row>
    <row r="183" ht="15.75" customHeight="1">
      <c r="A183" s="184"/>
      <c r="B183" s="5"/>
      <c r="C183" s="185"/>
      <c r="D183" s="186"/>
      <c r="E183" s="185"/>
      <c r="F183" s="5"/>
      <c r="G183" s="133"/>
      <c r="H183" s="133"/>
    </row>
    <row r="184" ht="15.75" customHeight="1">
      <c r="A184" s="184"/>
      <c r="B184" s="5"/>
      <c r="C184" s="185"/>
      <c r="D184" s="186"/>
      <c r="E184" s="185"/>
      <c r="F184" s="5"/>
      <c r="G184" s="133"/>
      <c r="H184" s="133"/>
    </row>
    <row r="185" ht="15.75" customHeight="1">
      <c r="A185" s="184"/>
      <c r="B185" s="5"/>
      <c r="C185" s="185"/>
      <c r="D185" s="186"/>
      <c r="E185" s="185"/>
      <c r="F185" s="5"/>
      <c r="G185" s="133"/>
      <c r="H185" s="133"/>
    </row>
    <row r="186" ht="15.75" customHeight="1">
      <c r="A186" s="184"/>
      <c r="B186" s="5"/>
      <c r="C186" s="185"/>
      <c r="D186" s="186"/>
      <c r="E186" s="185"/>
      <c r="F186" s="5"/>
      <c r="G186" s="133"/>
      <c r="H186" s="133"/>
    </row>
    <row r="187" ht="15.75" customHeight="1">
      <c r="A187" s="184"/>
      <c r="B187" s="5"/>
      <c r="C187" s="185"/>
      <c r="D187" s="186"/>
      <c r="E187" s="185"/>
      <c r="F187" s="5"/>
      <c r="G187" s="133"/>
      <c r="H187" s="133"/>
    </row>
    <row r="188" ht="15.75" customHeight="1">
      <c r="A188" s="184"/>
      <c r="B188" s="5"/>
      <c r="C188" s="185"/>
      <c r="D188" s="186"/>
      <c r="E188" s="185"/>
      <c r="F188" s="5"/>
      <c r="G188" s="133"/>
      <c r="H188" s="133"/>
    </row>
    <row r="189" ht="15.75" customHeight="1">
      <c r="A189" s="184"/>
      <c r="B189" s="5"/>
      <c r="C189" s="185"/>
      <c r="D189" s="186"/>
      <c r="E189" s="185"/>
      <c r="F189" s="5"/>
      <c r="G189" s="133"/>
      <c r="H189" s="133"/>
    </row>
    <row r="190" ht="15.75" customHeight="1">
      <c r="A190" s="184"/>
      <c r="B190" s="5"/>
      <c r="C190" s="185"/>
      <c r="D190" s="186"/>
      <c r="E190" s="185"/>
      <c r="F190" s="5"/>
      <c r="G190" s="133"/>
      <c r="H190" s="133"/>
    </row>
    <row r="191" ht="15.75" customHeight="1">
      <c r="A191" s="184"/>
      <c r="B191" s="5"/>
      <c r="C191" s="185"/>
      <c r="D191" s="186"/>
      <c r="E191" s="185"/>
      <c r="F191" s="5"/>
      <c r="G191" s="133"/>
      <c r="H191" s="133"/>
    </row>
    <row r="192" ht="15.75" customHeight="1">
      <c r="A192" s="184"/>
      <c r="B192" s="5"/>
      <c r="C192" s="185"/>
      <c r="D192" s="186"/>
      <c r="E192" s="185"/>
      <c r="F192" s="5"/>
      <c r="G192" s="133"/>
      <c r="H192" s="133"/>
    </row>
    <row r="193" ht="15.75" customHeight="1">
      <c r="A193" s="184"/>
      <c r="B193" s="5"/>
      <c r="C193" s="185"/>
      <c r="D193" s="186"/>
      <c r="E193" s="185"/>
      <c r="F193" s="5"/>
      <c r="G193" s="133"/>
      <c r="H193" s="133"/>
    </row>
    <row r="194" ht="15.75" customHeight="1">
      <c r="A194" s="184"/>
      <c r="B194" s="5"/>
      <c r="C194" s="185"/>
      <c r="D194" s="186"/>
      <c r="E194" s="185"/>
      <c r="F194" s="5"/>
      <c r="G194" s="133"/>
      <c r="H194" s="133"/>
    </row>
    <row r="195" ht="15.75" customHeight="1">
      <c r="A195" s="184"/>
      <c r="B195" s="5"/>
      <c r="C195" s="185"/>
      <c r="D195" s="186"/>
      <c r="E195" s="185"/>
      <c r="F195" s="5"/>
      <c r="G195" s="133"/>
      <c r="H195" s="133"/>
    </row>
    <row r="196" ht="15.75" customHeight="1">
      <c r="A196" s="184"/>
      <c r="B196" s="5"/>
      <c r="C196" s="185"/>
      <c r="D196" s="186"/>
      <c r="E196" s="185"/>
      <c r="F196" s="5"/>
      <c r="G196" s="133"/>
      <c r="H196" s="133"/>
    </row>
    <row r="197" ht="15.75" customHeight="1">
      <c r="A197" s="184"/>
      <c r="B197" s="5"/>
      <c r="C197" s="185"/>
      <c r="D197" s="186"/>
      <c r="E197" s="185"/>
      <c r="F197" s="5"/>
      <c r="G197" s="133"/>
      <c r="H197" s="133"/>
    </row>
    <row r="198" ht="15.75" customHeight="1">
      <c r="A198" s="184"/>
      <c r="B198" s="5"/>
      <c r="C198" s="185"/>
      <c r="D198" s="186"/>
      <c r="E198" s="185"/>
      <c r="F198" s="5"/>
      <c r="G198" s="133"/>
      <c r="H198" s="133"/>
    </row>
    <row r="199" ht="15.75" customHeight="1">
      <c r="A199" s="184"/>
      <c r="B199" s="5"/>
      <c r="C199" s="185"/>
      <c r="D199" s="186"/>
      <c r="E199" s="185"/>
      <c r="F199" s="5"/>
      <c r="G199" s="133"/>
      <c r="H199" s="133"/>
    </row>
    <row r="200" ht="15.75" customHeight="1">
      <c r="A200" s="184"/>
      <c r="B200" s="5"/>
      <c r="C200" s="185"/>
      <c r="D200" s="186"/>
      <c r="E200" s="185"/>
      <c r="F200" s="5"/>
      <c r="G200" s="133"/>
      <c r="H200" s="133"/>
    </row>
    <row r="201" ht="15.75" customHeight="1">
      <c r="A201" s="184"/>
      <c r="B201" s="5"/>
      <c r="C201" s="185"/>
      <c r="D201" s="186"/>
      <c r="E201" s="185"/>
      <c r="F201" s="5"/>
      <c r="G201" s="133"/>
      <c r="H201" s="133"/>
    </row>
    <row r="202" ht="15.75" customHeight="1">
      <c r="A202" s="184"/>
      <c r="B202" s="5"/>
      <c r="C202" s="185"/>
      <c r="D202" s="186"/>
      <c r="E202" s="185"/>
      <c r="F202" s="5"/>
      <c r="G202" s="133"/>
      <c r="H202" s="133"/>
    </row>
    <row r="203" ht="15.75" customHeight="1">
      <c r="A203" s="184"/>
      <c r="B203" s="5"/>
      <c r="C203" s="185"/>
      <c r="D203" s="186"/>
      <c r="E203" s="185"/>
      <c r="F203" s="5"/>
      <c r="G203" s="133"/>
      <c r="H203" s="133"/>
    </row>
    <row r="204" ht="15.75" customHeight="1">
      <c r="A204" s="184"/>
      <c r="B204" s="5"/>
      <c r="C204" s="185"/>
      <c r="D204" s="186"/>
      <c r="E204" s="185"/>
      <c r="F204" s="5"/>
      <c r="G204" s="133"/>
      <c r="H204" s="133"/>
    </row>
    <row r="205" ht="15.75" customHeight="1">
      <c r="A205" s="184"/>
      <c r="B205" s="5"/>
      <c r="C205" s="185"/>
      <c r="D205" s="186"/>
      <c r="E205" s="185"/>
      <c r="F205" s="5"/>
      <c r="G205" s="133"/>
      <c r="H205" s="133"/>
    </row>
    <row r="206" ht="15.75" customHeight="1">
      <c r="A206" s="184"/>
      <c r="B206" s="5"/>
      <c r="C206" s="185"/>
      <c r="D206" s="186"/>
      <c r="E206" s="185"/>
      <c r="F206" s="5"/>
      <c r="G206" s="133"/>
      <c r="H206" s="133"/>
    </row>
    <row r="207" ht="15.75" customHeight="1">
      <c r="A207" s="184"/>
      <c r="B207" s="5"/>
      <c r="C207" s="185"/>
      <c r="D207" s="186"/>
      <c r="E207" s="185"/>
      <c r="F207" s="5"/>
      <c r="G207" s="133"/>
      <c r="H207" s="133"/>
    </row>
    <row r="208" ht="15.75" customHeight="1">
      <c r="A208" s="184"/>
      <c r="B208" s="5"/>
      <c r="C208" s="185"/>
      <c r="D208" s="186"/>
      <c r="E208" s="185"/>
      <c r="F208" s="5"/>
      <c r="G208" s="133"/>
      <c r="H208" s="133"/>
    </row>
    <row r="209" ht="15.75" customHeight="1">
      <c r="A209" s="184"/>
      <c r="B209" s="5"/>
      <c r="C209" s="185"/>
      <c r="D209" s="186"/>
      <c r="E209" s="185"/>
      <c r="F209" s="5"/>
      <c r="G209" s="133"/>
      <c r="H209" s="133"/>
    </row>
    <row r="210" ht="15.75" customHeight="1">
      <c r="A210" s="184"/>
      <c r="B210" s="5"/>
      <c r="C210" s="185"/>
      <c r="D210" s="186"/>
      <c r="E210" s="185"/>
      <c r="F210" s="5"/>
      <c r="G210" s="133"/>
      <c r="H210" s="133"/>
    </row>
    <row r="211" ht="15.75" customHeight="1">
      <c r="A211" s="184"/>
      <c r="B211" s="5"/>
      <c r="C211" s="185"/>
      <c r="D211" s="186"/>
      <c r="E211" s="185"/>
      <c r="F211" s="5"/>
      <c r="G211" s="133"/>
      <c r="H211" s="133"/>
    </row>
    <row r="212" ht="15.75" customHeight="1">
      <c r="A212" s="184"/>
      <c r="B212" s="5"/>
      <c r="C212" s="185"/>
      <c r="D212" s="186"/>
      <c r="E212" s="185"/>
      <c r="F212" s="5"/>
      <c r="G212" s="133"/>
      <c r="H212" s="133"/>
    </row>
    <row r="213" ht="15.75" customHeight="1">
      <c r="A213" s="184"/>
      <c r="B213" s="5"/>
      <c r="C213" s="185"/>
      <c r="D213" s="186"/>
      <c r="E213" s="185"/>
      <c r="F213" s="5"/>
      <c r="G213" s="133"/>
      <c r="H213" s="133"/>
    </row>
    <row r="214" ht="15.75" customHeight="1">
      <c r="A214" s="184"/>
      <c r="B214" s="5"/>
      <c r="C214" s="185"/>
      <c r="D214" s="186"/>
      <c r="E214" s="185"/>
      <c r="F214" s="5"/>
      <c r="G214" s="133"/>
      <c r="H214" s="133"/>
    </row>
    <row r="215" ht="15.75" customHeight="1">
      <c r="A215" s="184"/>
      <c r="B215" s="5"/>
      <c r="C215" s="185"/>
      <c r="D215" s="186"/>
      <c r="E215" s="185"/>
      <c r="F215" s="5"/>
      <c r="G215" s="133"/>
      <c r="H215" s="133"/>
    </row>
    <row r="216" ht="15.75" customHeight="1">
      <c r="A216" s="184"/>
      <c r="B216" s="5"/>
      <c r="C216" s="185"/>
      <c r="D216" s="186"/>
      <c r="E216" s="185"/>
      <c r="F216" s="5"/>
      <c r="G216" s="133"/>
      <c r="H216" s="133"/>
    </row>
    <row r="217" ht="15.75" customHeight="1">
      <c r="A217" s="184"/>
      <c r="B217" s="5"/>
      <c r="C217" s="185"/>
      <c r="D217" s="186"/>
      <c r="E217" s="185"/>
      <c r="F217" s="5"/>
      <c r="G217" s="133"/>
      <c r="H217" s="133"/>
    </row>
    <row r="218" ht="15.75" customHeight="1">
      <c r="A218" s="184"/>
      <c r="B218" s="5"/>
      <c r="C218" s="185"/>
      <c r="D218" s="186"/>
      <c r="E218" s="185"/>
      <c r="F218" s="5"/>
      <c r="G218" s="133"/>
      <c r="H218" s="133"/>
    </row>
    <row r="219" ht="15.75" customHeight="1">
      <c r="A219" s="184"/>
      <c r="B219" s="5"/>
      <c r="C219" s="185"/>
      <c r="D219" s="186"/>
      <c r="E219" s="185"/>
      <c r="F219" s="5"/>
      <c r="G219" s="133"/>
      <c r="H219" s="133"/>
    </row>
    <row r="220" ht="15.75" customHeight="1">
      <c r="A220" s="184"/>
      <c r="B220" s="5"/>
      <c r="C220" s="185"/>
      <c r="D220" s="186"/>
      <c r="E220" s="185"/>
      <c r="F220" s="5"/>
      <c r="G220" s="133"/>
      <c r="H220" s="133"/>
    </row>
    <row r="221" ht="15.75" customHeight="1">
      <c r="A221" s="184"/>
      <c r="B221" s="5"/>
      <c r="C221" s="185"/>
      <c r="D221" s="186"/>
      <c r="E221" s="185"/>
      <c r="F221" s="5"/>
      <c r="G221" s="133"/>
      <c r="H221" s="133"/>
    </row>
    <row r="222" ht="15.75" customHeight="1">
      <c r="A222" s="184"/>
      <c r="B222" s="5"/>
      <c r="C222" s="185"/>
      <c r="D222" s="186"/>
      <c r="E222" s="185"/>
      <c r="F222" s="5"/>
      <c r="G222" s="133"/>
      <c r="H222" s="133"/>
    </row>
    <row r="223" ht="15.75" customHeight="1">
      <c r="A223" s="184"/>
      <c r="B223" s="5"/>
      <c r="C223" s="185"/>
      <c r="D223" s="186"/>
      <c r="E223" s="185"/>
      <c r="F223" s="5"/>
      <c r="G223" s="133"/>
      <c r="H223" s="133"/>
    </row>
    <row r="224" ht="15.75" customHeight="1">
      <c r="A224" s="184"/>
      <c r="B224" s="5"/>
      <c r="C224" s="185"/>
      <c r="D224" s="186"/>
      <c r="E224" s="185"/>
      <c r="F224" s="5"/>
      <c r="G224" s="133"/>
      <c r="H224" s="133"/>
    </row>
    <row r="225" ht="15.75" customHeight="1">
      <c r="A225" s="184"/>
      <c r="B225" s="5"/>
      <c r="C225" s="185"/>
      <c r="D225" s="186"/>
      <c r="E225" s="185"/>
      <c r="F225" s="5"/>
      <c r="G225" s="133"/>
      <c r="H225" s="133"/>
    </row>
    <row r="226" ht="15.75" customHeight="1">
      <c r="A226" s="184"/>
      <c r="B226" s="5"/>
      <c r="C226" s="185"/>
      <c r="D226" s="186"/>
      <c r="E226" s="185"/>
      <c r="F226" s="5"/>
      <c r="G226" s="133"/>
      <c r="H226" s="133"/>
    </row>
    <row r="227" ht="15.75" customHeight="1">
      <c r="A227" s="184"/>
      <c r="B227" s="5"/>
      <c r="C227" s="185"/>
      <c r="D227" s="186"/>
      <c r="E227" s="185"/>
      <c r="F227" s="5"/>
      <c r="G227" s="133"/>
      <c r="H227" s="133"/>
    </row>
    <row r="228" ht="15.75" customHeight="1">
      <c r="A228" s="184"/>
      <c r="B228" s="5"/>
      <c r="C228" s="185"/>
      <c r="D228" s="186"/>
      <c r="E228" s="185"/>
      <c r="F228" s="5"/>
      <c r="G228" s="133"/>
      <c r="H228" s="133"/>
    </row>
    <row r="229" ht="15.75" customHeight="1">
      <c r="A229" s="184"/>
      <c r="B229" s="5"/>
      <c r="C229" s="185"/>
      <c r="D229" s="186"/>
      <c r="E229" s="185"/>
      <c r="F229" s="5"/>
      <c r="G229" s="133"/>
      <c r="H229" s="133"/>
    </row>
    <row r="230" ht="15.75" customHeight="1">
      <c r="A230" s="184"/>
      <c r="B230" s="5"/>
      <c r="C230" s="185"/>
      <c r="D230" s="186"/>
      <c r="E230" s="185"/>
      <c r="F230" s="5"/>
      <c r="G230" s="133"/>
      <c r="H230" s="133"/>
    </row>
    <row r="231" ht="15.75" customHeight="1">
      <c r="A231" s="184"/>
      <c r="B231" s="5"/>
      <c r="C231" s="185"/>
      <c r="D231" s="186"/>
      <c r="E231" s="185"/>
      <c r="F231" s="5"/>
      <c r="G231" s="133"/>
      <c r="H231" s="133"/>
    </row>
    <row r="232" ht="15.75" customHeight="1">
      <c r="A232" s="5"/>
      <c r="B232" s="5"/>
      <c r="C232" s="187"/>
      <c r="D232" s="5"/>
      <c r="E232" s="187"/>
      <c r="F232" s="5"/>
      <c r="G232" s="5"/>
    </row>
    <row r="233" ht="15.75" customHeight="1">
      <c r="C233" s="188"/>
      <c r="D233" s="188"/>
      <c r="E233" s="188"/>
    </row>
    <row r="234" ht="15.75" customHeight="1">
      <c r="C234" s="188"/>
      <c r="D234" s="188"/>
      <c r="E234" s="188"/>
    </row>
    <row r="235" ht="15.75" customHeight="1">
      <c r="C235" s="188"/>
      <c r="D235" s="188"/>
      <c r="E235" s="188"/>
    </row>
    <row r="236" ht="15.75" customHeight="1">
      <c r="C236" s="188"/>
      <c r="D236" s="188"/>
      <c r="E236" s="188"/>
    </row>
    <row r="237" ht="15.75" customHeight="1">
      <c r="C237" s="188"/>
      <c r="D237" s="188"/>
      <c r="E237" s="188"/>
    </row>
    <row r="238" ht="15.75" customHeight="1">
      <c r="C238" s="188"/>
      <c r="D238" s="188"/>
      <c r="E238" s="188"/>
    </row>
    <row r="239" ht="15.75" customHeight="1">
      <c r="C239" s="188"/>
      <c r="D239" s="188"/>
      <c r="E239" s="188"/>
    </row>
    <row r="240" ht="15.75" customHeight="1">
      <c r="C240" s="188"/>
      <c r="D240" s="188"/>
      <c r="E240" s="188"/>
    </row>
    <row r="241" ht="15.75" customHeight="1">
      <c r="C241" s="188"/>
      <c r="D241" s="188"/>
      <c r="E241" s="188"/>
    </row>
    <row r="242" ht="15.75" customHeight="1">
      <c r="C242" s="188"/>
      <c r="D242" s="188"/>
      <c r="E242" s="188"/>
    </row>
    <row r="243" ht="15.75" customHeight="1">
      <c r="C243" s="188"/>
      <c r="D243" s="188"/>
      <c r="E243" s="188"/>
    </row>
    <row r="244" ht="15.75" customHeight="1">
      <c r="C244" s="188"/>
      <c r="D244" s="188"/>
      <c r="E244" s="188"/>
    </row>
    <row r="245" ht="15.75" customHeight="1">
      <c r="C245" s="188"/>
      <c r="D245" s="188"/>
      <c r="E245" s="188"/>
    </row>
    <row r="246" ht="15.75" customHeight="1">
      <c r="C246" s="188"/>
      <c r="D246" s="188"/>
      <c r="E246" s="188"/>
    </row>
    <row r="247" ht="15.75" customHeight="1">
      <c r="C247" s="188"/>
      <c r="D247" s="188"/>
      <c r="E247" s="188"/>
    </row>
    <row r="248" ht="15.75" customHeight="1">
      <c r="C248" s="188"/>
      <c r="D248" s="188"/>
      <c r="E248" s="188"/>
    </row>
    <row r="249" ht="15.75" customHeight="1">
      <c r="C249" s="188"/>
      <c r="D249" s="188"/>
      <c r="E249" s="188"/>
    </row>
    <row r="250" ht="15.75" customHeight="1">
      <c r="C250" s="188"/>
      <c r="D250" s="188"/>
      <c r="E250" s="188"/>
    </row>
    <row r="251" ht="15.75" customHeight="1">
      <c r="C251" s="188"/>
      <c r="D251" s="188"/>
      <c r="E251" s="188"/>
    </row>
    <row r="252" ht="15.75" customHeight="1">
      <c r="C252" s="188"/>
      <c r="D252" s="188"/>
      <c r="E252" s="188"/>
    </row>
    <row r="253" ht="15.75" customHeight="1">
      <c r="C253" s="188"/>
      <c r="D253" s="188"/>
      <c r="E253" s="188"/>
    </row>
    <row r="254" ht="15.75" customHeight="1">
      <c r="C254" s="188"/>
      <c r="D254" s="188"/>
      <c r="E254" s="188"/>
    </row>
    <row r="255" ht="15.75" customHeight="1">
      <c r="C255" s="188"/>
      <c r="D255" s="188"/>
      <c r="E255" s="188"/>
    </row>
    <row r="256" ht="15.75" customHeight="1">
      <c r="C256" s="188"/>
      <c r="D256" s="188"/>
      <c r="E256" s="188"/>
    </row>
    <row r="257" ht="15.75" customHeight="1">
      <c r="C257" s="188"/>
      <c r="D257" s="188"/>
      <c r="E257" s="188"/>
    </row>
    <row r="258" ht="15.75" customHeight="1">
      <c r="C258" s="188"/>
      <c r="D258" s="188"/>
      <c r="E258" s="188"/>
    </row>
    <row r="259" ht="15.75" customHeight="1">
      <c r="C259" s="188"/>
      <c r="D259" s="188"/>
      <c r="E259" s="188"/>
    </row>
    <row r="260" ht="15.75" customHeight="1">
      <c r="C260" s="188"/>
      <c r="D260" s="188"/>
      <c r="E260" s="188"/>
    </row>
    <row r="261" ht="15.75" customHeight="1">
      <c r="C261" s="188"/>
      <c r="D261" s="188"/>
      <c r="E261" s="188"/>
    </row>
    <row r="262" ht="15.75" customHeight="1">
      <c r="C262" s="188"/>
      <c r="D262" s="188"/>
      <c r="E262" s="188"/>
    </row>
    <row r="263" ht="15.75" customHeight="1">
      <c r="C263" s="188"/>
      <c r="D263" s="188"/>
      <c r="E263" s="188"/>
    </row>
    <row r="264" ht="15.75" customHeight="1">
      <c r="C264" s="188"/>
      <c r="D264" s="188"/>
      <c r="E264" s="188"/>
    </row>
    <row r="265" ht="15.75" customHeight="1">
      <c r="C265" s="188"/>
      <c r="D265" s="188"/>
      <c r="E265" s="188"/>
    </row>
    <row r="266" ht="15.75" customHeight="1">
      <c r="C266" s="188"/>
      <c r="D266" s="188"/>
      <c r="E266" s="188"/>
    </row>
    <row r="267" ht="15.75" customHeight="1">
      <c r="C267" s="188"/>
      <c r="D267" s="188"/>
      <c r="E267" s="188"/>
    </row>
    <row r="268" ht="15.75" customHeight="1">
      <c r="C268" s="188"/>
      <c r="D268" s="188"/>
      <c r="E268" s="188"/>
    </row>
    <row r="269" ht="15.75" customHeight="1">
      <c r="C269" s="188"/>
      <c r="D269" s="188"/>
      <c r="E269" s="188"/>
    </row>
    <row r="270" ht="15.75" customHeight="1">
      <c r="C270" s="188"/>
      <c r="D270" s="188"/>
      <c r="E270" s="188"/>
    </row>
    <row r="271" ht="15.75" customHeight="1">
      <c r="C271" s="188"/>
      <c r="D271" s="188"/>
      <c r="E271" s="188"/>
    </row>
    <row r="272" ht="15.75" customHeight="1">
      <c r="C272" s="188"/>
      <c r="D272" s="188"/>
      <c r="E272" s="188"/>
    </row>
    <row r="273" ht="15.75" customHeight="1">
      <c r="C273" s="188"/>
      <c r="D273" s="188"/>
      <c r="E273" s="188"/>
    </row>
    <row r="274" ht="15.75" customHeight="1">
      <c r="C274" s="188"/>
      <c r="D274" s="188"/>
      <c r="E274" s="188"/>
    </row>
    <row r="275" ht="15.75" customHeight="1">
      <c r="C275" s="188"/>
      <c r="D275" s="188"/>
      <c r="E275" s="188"/>
    </row>
    <row r="276" ht="15.75" customHeight="1">
      <c r="C276" s="188"/>
      <c r="D276" s="188"/>
      <c r="E276" s="188"/>
    </row>
    <row r="277" ht="15.75" customHeight="1">
      <c r="C277" s="188"/>
      <c r="D277" s="188"/>
      <c r="E277" s="188"/>
    </row>
    <row r="278" ht="15.75" customHeight="1">
      <c r="C278" s="188"/>
      <c r="D278" s="188"/>
      <c r="E278" s="188"/>
    </row>
    <row r="279" ht="15.75" customHeight="1">
      <c r="C279" s="188"/>
      <c r="D279" s="188"/>
      <c r="E279" s="188"/>
    </row>
    <row r="280" ht="15.75" customHeight="1">
      <c r="C280" s="188"/>
      <c r="D280" s="188"/>
      <c r="E280" s="188"/>
    </row>
    <row r="281" ht="15.75" customHeight="1">
      <c r="C281" s="188"/>
      <c r="D281" s="188"/>
      <c r="E281" s="188"/>
    </row>
    <row r="282" ht="15.75" customHeight="1">
      <c r="C282" s="188"/>
      <c r="D282" s="188"/>
      <c r="E282" s="188"/>
    </row>
    <row r="283" ht="15.75" customHeight="1">
      <c r="C283" s="188"/>
      <c r="D283" s="188"/>
      <c r="E283" s="188"/>
    </row>
    <row r="284" ht="15.75" customHeight="1">
      <c r="C284" s="188"/>
      <c r="D284" s="188"/>
      <c r="E284" s="188"/>
    </row>
    <row r="285" ht="15.75" customHeight="1">
      <c r="C285" s="188"/>
      <c r="D285" s="188"/>
      <c r="E285" s="188"/>
    </row>
    <row r="286" ht="15.75" customHeight="1">
      <c r="C286" s="188"/>
      <c r="D286" s="188"/>
      <c r="E286" s="188"/>
    </row>
    <row r="287" ht="15.75" customHeight="1">
      <c r="C287" s="188"/>
      <c r="D287" s="188"/>
      <c r="E287" s="188"/>
    </row>
    <row r="288" ht="15.75" customHeight="1">
      <c r="C288" s="188"/>
      <c r="D288" s="188"/>
      <c r="E288" s="188"/>
    </row>
    <row r="289" ht="15.75" customHeight="1">
      <c r="C289" s="188"/>
      <c r="D289" s="188"/>
      <c r="E289" s="188"/>
    </row>
    <row r="290" ht="15.75" customHeight="1">
      <c r="C290" s="188"/>
      <c r="D290" s="188"/>
      <c r="E290" s="188"/>
    </row>
    <row r="291" ht="15.75" customHeight="1">
      <c r="C291" s="188"/>
      <c r="D291" s="188"/>
      <c r="E291" s="188"/>
    </row>
    <row r="292" ht="15.75" customHeight="1">
      <c r="C292" s="188"/>
      <c r="D292" s="188"/>
      <c r="E292" s="188"/>
    </row>
    <row r="293" ht="15.75" customHeight="1">
      <c r="C293" s="188"/>
      <c r="D293" s="188"/>
      <c r="E293" s="188"/>
    </row>
    <row r="294" ht="15.75" customHeight="1">
      <c r="C294" s="188"/>
      <c r="D294" s="188"/>
      <c r="E294" s="188"/>
    </row>
    <row r="295" ht="15.75" customHeight="1">
      <c r="C295" s="188"/>
      <c r="D295" s="188"/>
      <c r="E295" s="188"/>
    </row>
    <row r="296" ht="15.75" customHeight="1">
      <c r="C296" s="188"/>
      <c r="D296" s="188"/>
      <c r="E296" s="188"/>
    </row>
    <row r="297" ht="15.75" customHeight="1">
      <c r="C297" s="188"/>
      <c r="D297" s="188"/>
      <c r="E297" s="188"/>
    </row>
    <row r="298" ht="15.75" customHeight="1">
      <c r="C298" s="188"/>
      <c r="D298" s="188"/>
      <c r="E298" s="188"/>
    </row>
    <row r="299" ht="15.75" customHeight="1">
      <c r="C299" s="188"/>
      <c r="D299" s="188"/>
      <c r="E299" s="188"/>
    </row>
    <row r="300" ht="15.75" customHeight="1">
      <c r="C300" s="188"/>
      <c r="D300" s="188"/>
      <c r="E300" s="188"/>
    </row>
    <row r="301" ht="15.75" customHeight="1">
      <c r="C301" s="188"/>
      <c r="D301" s="188"/>
      <c r="E301" s="188"/>
    </row>
    <row r="302" ht="15.75" customHeight="1">
      <c r="C302" s="188"/>
      <c r="D302" s="188"/>
      <c r="E302" s="188"/>
    </row>
    <row r="303" ht="15.75" customHeight="1">
      <c r="C303" s="188"/>
      <c r="D303" s="188"/>
      <c r="E303" s="188"/>
    </row>
    <row r="304" ht="15.75" customHeight="1">
      <c r="C304" s="188"/>
      <c r="D304" s="188"/>
      <c r="E304" s="188"/>
    </row>
    <row r="305" ht="15.75" customHeight="1">
      <c r="C305" s="188"/>
      <c r="D305" s="188"/>
      <c r="E305" s="188"/>
    </row>
    <row r="306" ht="15.75" customHeight="1">
      <c r="C306" s="188"/>
      <c r="D306" s="188"/>
      <c r="E306" s="188"/>
    </row>
    <row r="307" ht="15.75" customHeight="1">
      <c r="C307" s="188"/>
      <c r="D307" s="188"/>
      <c r="E307" s="188"/>
    </row>
    <row r="308" ht="15.75" customHeight="1">
      <c r="C308" s="188"/>
      <c r="D308" s="188"/>
      <c r="E308" s="188"/>
    </row>
    <row r="309" ht="15.75" customHeight="1">
      <c r="C309" s="188"/>
      <c r="D309" s="188"/>
      <c r="E309" s="188"/>
    </row>
    <row r="310" ht="15.75" customHeight="1">
      <c r="C310" s="188"/>
      <c r="D310" s="188"/>
      <c r="E310" s="188"/>
    </row>
    <row r="311" ht="15.75" customHeight="1">
      <c r="C311" s="188"/>
      <c r="D311" s="188"/>
      <c r="E311" s="188"/>
    </row>
    <row r="312" ht="15.75" customHeight="1">
      <c r="C312" s="188"/>
      <c r="D312" s="188"/>
      <c r="E312" s="188"/>
    </row>
    <row r="313" ht="15.75" customHeight="1">
      <c r="C313" s="188"/>
      <c r="D313" s="188"/>
      <c r="E313" s="188"/>
    </row>
    <row r="314" ht="15.75" customHeight="1">
      <c r="C314" s="188"/>
      <c r="D314" s="188"/>
      <c r="E314" s="188"/>
    </row>
    <row r="315" ht="15.75" customHeight="1">
      <c r="C315" s="188"/>
      <c r="D315" s="188"/>
      <c r="E315" s="188"/>
    </row>
    <row r="316" ht="15.75" customHeight="1">
      <c r="C316" s="188"/>
      <c r="D316" s="188"/>
      <c r="E316" s="188"/>
    </row>
    <row r="317" ht="15.75" customHeight="1">
      <c r="C317" s="188"/>
      <c r="D317" s="188"/>
      <c r="E317" s="188"/>
    </row>
    <row r="318" ht="15.75" customHeight="1">
      <c r="C318" s="188"/>
      <c r="D318" s="188"/>
      <c r="E318" s="188"/>
    </row>
    <row r="319" ht="15.75" customHeight="1">
      <c r="C319" s="188"/>
      <c r="D319" s="188"/>
      <c r="E319" s="188"/>
    </row>
    <row r="320" ht="15.75" customHeight="1">
      <c r="C320" s="188"/>
      <c r="D320" s="188"/>
      <c r="E320" s="188"/>
    </row>
    <row r="321" ht="15.75" customHeight="1">
      <c r="C321" s="188"/>
      <c r="D321" s="188"/>
      <c r="E321" s="188"/>
    </row>
    <row r="322" ht="15.75" customHeight="1">
      <c r="C322" s="188"/>
      <c r="D322" s="188"/>
      <c r="E322" s="188"/>
    </row>
    <row r="323" ht="15.75" customHeight="1">
      <c r="C323" s="188"/>
      <c r="D323" s="188"/>
      <c r="E323" s="188"/>
    </row>
    <row r="324" ht="15.75" customHeight="1">
      <c r="C324" s="188"/>
      <c r="D324" s="188"/>
      <c r="E324" s="188"/>
    </row>
    <row r="325" ht="15.75" customHeight="1">
      <c r="C325" s="188"/>
      <c r="D325" s="188"/>
      <c r="E325" s="188"/>
    </row>
    <row r="326" ht="15.75" customHeight="1">
      <c r="C326" s="188"/>
      <c r="D326" s="188"/>
      <c r="E326" s="188"/>
    </row>
    <row r="327" ht="15.75" customHeight="1">
      <c r="C327" s="188"/>
      <c r="D327" s="188"/>
      <c r="E327" s="188"/>
    </row>
    <row r="328" ht="15.75" customHeight="1">
      <c r="C328" s="188"/>
      <c r="D328" s="188"/>
      <c r="E328" s="188"/>
    </row>
    <row r="329" ht="15.75" customHeight="1">
      <c r="C329" s="188"/>
      <c r="D329" s="188"/>
      <c r="E329" s="188"/>
    </row>
    <row r="330" ht="15.75" customHeight="1">
      <c r="C330" s="188"/>
      <c r="D330" s="188"/>
      <c r="E330" s="188"/>
    </row>
    <row r="331" ht="15.75" customHeight="1">
      <c r="C331" s="188"/>
      <c r="D331" s="188"/>
      <c r="E331" s="188"/>
    </row>
    <row r="332" ht="15.75" customHeight="1">
      <c r="C332" s="188"/>
      <c r="D332" s="188"/>
      <c r="E332" s="188"/>
    </row>
    <row r="333" ht="15.75" customHeight="1">
      <c r="C333" s="188"/>
      <c r="D333" s="188"/>
      <c r="E333" s="188"/>
    </row>
    <row r="334" ht="15.75" customHeight="1">
      <c r="C334" s="188"/>
      <c r="D334" s="188"/>
      <c r="E334" s="188"/>
    </row>
    <row r="335" ht="15.75" customHeight="1">
      <c r="C335" s="188"/>
      <c r="D335" s="188"/>
      <c r="E335" s="188"/>
    </row>
    <row r="336" ht="15.75" customHeight="1">
      <c r="C336" s="188"/>
      <c r="D336" s="188"/>
      <c r="E336" s="188"/>
    </row>
    <row r="337" ht="15.75" customHeight="1">
      <c r="C337" s="188"/>
      <c r="D337" s="188"/>
      <c r="E337" s="188"/>
    </row>
    <row r="338" ht="15.75" customHeight="1">
      <c r="C338" s="188"/>
      <c r="D338" s="188"/>
      <c r="E338" s="188"/>
    </row>
    <row r="339" ht="15.75" customHeight="1">
      <c r="C339" s="188"/>
      <c r="D339" s="188"/>
      <c r="E339" s="188"/>
    </row>
    <row r="340" ht="15.75" customHeight="1">
      <c r="C340" s="188"/>
      <c r="D340" s="188"/>
      <c r="E340" s="188"/>
    </row>
    <row r="341" ht="15.75" customHeight="1">
      <c r="C341" s="188"/>
      <c r="D341" s="188"/>
      <c r="E341" s="188"/>
    </row>
    <row r="342" ht="15.75" customHeight="1">
      <c r="C342" s="188"/>
      <c r="D342" s="188"/>
      <c r="E342" s="188"/>
    </row>
    <row r="343" ht="15.75" customHeight="1">
      <c r="C343" s="188"/>
      <c r="D343" s="188"/>
      <c r="E343" s="188"/>
    </row>
    <row r="344" ht="15.75" customHeight="1">
      <c r="C344" s="188"/>
      <c r="D344" s="188"/>
      <c r="E344" s="188"/>
    </row>
    <row r="345" ht="15.75" customHeight="1">
      <c r="C345" s="188"/>
      <c r="D345" s="188"/>
      <c r="E345" s="188"/>
    </row>
    <row r="346" ht="15.75" customHeight="1">
      <c r="C346" s="188"/>
      <c r="D346" s="188"/>
      <c r="E346" s="188"/>
    </row>
    <row r="347" ht="15.75" customHeight="1">
      <c r="C347" s="188"/>
      <c r="D347" s="188"/>
      <c r="E347" s="188"/>
    </row>
    <row r="348" ht="15.75" customHeight="1">
      <c r="C348" s="188"/>
      <c r="D348" s="188"/>
      <c r="E348" s="188"/>
    </row>
    <row r="349" ht="15.75" customHeight="1">
      <c r="C349" s="188"/>
      <c r="D349" s="188"/>
      <c r="E349" s="188"/>
    </row>
    <row r="350" ht="15.75" customHeight="1">
      <c r="C350" s="188"/>
      <c r="D350" s="188"/>
      <c r="E350" s="188"/>
    </row>
    <row r="351" ht="15.75" customHeight="1">
      <c r="C351" s="188"/>
      <c r="D351" s="188"/>
      <c r="E351" s="188"/>
    </row>
    <row r="352" ht="15.75" customHeight="1">
      <c r="C352" s="188"/>
      <c r="D352" s="188"/>
      <c r="E352" s="188"/>
    </row>
    <row r="353" ht="15.75" customHeight="1">
      <c r="C353" s="188"/>
      <c r="D353" s="188"/>
      <c r="E353" s="188"/>
    </row>
    <row r="354" ht="15.75" customHeight="1">
      <c r="C354" s="188"/>
      <c r="D354" s="188"/>
      <c r="E354" s="188"/>
    </row>
    <row r="355" ht="15.75" customHeight="1">
      <c r="C355" s="188"/>
      <c r="D355" s="188"/>
      <c r="E355" s="188"/>
    </row>
    <row r="356" ht="15.75" customHeight="1">
      <c r="C356" s="188"/>
      <c r="D356" s="188"/>
      <c r="E356" s="188"/>
    </row>
    <row r="357" ht="15.75" customHeight="1">
      <c r="C357" s="188"/>
      <c r="D357" s="188"/>
      <c r="E357" s="188"/>
    </row>
    <row r="358" ht="15.75" customHeight="1">
      <c r="C358" s="188"/>
      <c r="D358" s="188"/>
      <c r="E358" s="188"/>
    </row>
    <row r="359" ht="15.75" customHeight="1">
      <c r="C359" s="188"/>
      <c r="D359" s="188"/>
      <c r="E359" s="188"/>
    </row>
    <row r="360" ht="15.75" customHeight="1">
      <c r="C360" s="188"/>
      <c r="D360" s="188"/>
      <c r="E360" s="188"/>
    </row>
    <row r="361" ht="15.75" customHeight="1">
      <c r="C361" s="188"/>
      <c r="D361" s="188"/>
      <c r="E361" s="188"/>
    </row>
    <row r="362" ht="15.75" customHeight="1">
      <c r="C362" s="188"/>
      <c r="D362" s="188"/>
      <c r="E362" s="188"/>
    </row>
    <row r="363" ht="15.75" customHeight="1">
      <c r="C363" s="188"/>
      <c r="D363" s="188"/>
      <c r="E363" s="188"/>
    </row>
    <row r="364" ht="15.75" customHeight="1">
      <c r="C364" s="188"/>
      <c r="D364" s="188"/>
      <c r="E364" s="188"/>
    </row>
    <row r="365" ht="15.75" customHeight="1">
      <c r="C365" s="188"/>
      <c r="D365" s="188"/>
      <c r="E365" s="188"/>
    </row>
    <row r="366" ht="15.75" customHeight="1">
      <c r="C366" s="188"/>
      <c r="D366" s="188"/>
      <c r="E366" s="188"/>
    </row>
    <row r="367" ht="15.75" customHeight="1">
      <c r="C367" s="188"/>
      <c r="D367" s="188"/>
      <c r="E367" s="188"/>
    </row>
    <row r="368" ht="15.75" customHeight="1">
      <c r="C368" s="188"/>
      <c r="D368" s="188"/>
      <c r="E368" s="188"/>
    </row>
    <row r="369" ht="15.75" customHeight="1">
      <c r="C369" s="188"/>
      <c r="D369" s="188"/>
      <c r="E369" s="188"/>
    </row>
    <row r="370" ht="15.75" customHeight="1">
      <c r="C370" s="188"/>
      <c r="D370" s="188"/>
      <c r="E370" s="188"/>
    </row>
    <row r="371" ht="15.75" customHeight="1">
      <c r="C371" s="188"/>
      <c r="D371" s="188"/>
      <c r="E371" s="188"/>
    </row>
    <row r="372" ht="15.75" customHeight="1">
      <c r="C372" s="188"/>
      <c r="D372" s="188"/>
      <c r="E372" s="188"/>
    </row>
    <row r="373" ht="15.75" customHeight="1">
      <c r="C373" s="188"/>
      <c r="D373" s="188"/>
      <c r="E373" s="188"/>
    </row>
    <row r="374" ht="15.75" customHeight="1">
      <c r="C374" s="188"/>
      <c r="D374" s="188"/>
      <c r="E374" s="188"/>
    </row>
    <row r="375" ht="15.75" customHeight="1">
      <c r="C375" s="188"/>
      <c r="D375" s="188"/>
      <c r="E375" s="188"/>
    </row>
    <row r="376" ht="15.75" customHeight="1">
      <c r="C376" s="188"/>
      <c r="D376" s="188"/>
      <c r="E376" s="188"/>
    </row>
    <row r="377" ht="15.75" customHeight="1">
      <c r="C377" s="188"/>
      <c r="D377" s="188"/>
      <c r="E377" s="188"/>
    </row>
    <row r="378" ht="15.75" customHeight="1">
      <c r="C378" s="188"/>
      <c r="D378" s="188"/>
      <c r="E378" s="188"/>
    </row>
    <row r="379" ht="15.75" customHeight="1">
      <c r="C379" s="188"/>
      <c r="D379" s="188"/>
      <c r="E379" s="188"/>
    </row>
    <row r="380" ht="15.75" customHeight="1">
      <c r="C380" s="188"/>
      <c r="D380" s="188"/>
      <c r="E380" s="188"/>
    </row>
    <row r="381" ht="15.75" customHeight="1">
      <c r="C381" s="188"/>
      <c r="D381" s="188"/>
      <c r="E381" s="188"/>
    </row>
    <row r="382" ht="15.75" customHeight="1">
      <c r="C382" s="188"/>
      <c r="D382" s="188"/>
      <c r="E382" s="188"/>
    </row>
    <row r="383" ht="15.75" customHeight="1">
      <c r="C383" s="188"/>
      <c r="D383" s="188"/>
      <c r="E383" s="188"/>
    </row>
    <row r="384" ht="15.75" customHeight="1">
      <c r="C384" s="188"/>
      <c r="D384" s="188"/>
      <c r="E384" s="188"/>
    </row>
    <row r="385" ht="15.75" customHeight="1">
      <c r="C385" s="188"/>
      <c r="D385" s="188"/>
      <c r="E385" s="188"/>
    </row>
    <row r="386" ht="15.75" customHeight="1">
      <c r="C386" s="188"/>
      <c r="D386" s="188"/>
      <c r="E386" s="188"/>
    </row>
    <row r="387" ht="15.75" customHeight="1">
      <c r="C387" s="188"/>
      <c r="D387" s="188"/>
      <c r="E387" s="188"/>
    </row>
    <row r="388" ht="15.75" customHeight="1">
      <c r="C388" s="188"/>
      <c r="D388" s="188"/>
      <c r="E388" s="188"/>
    </row>
    <row r="389" ht="15.75" customHeight="1">
      <c r="C389" s="188"/>
      <c r="D389" s="188"/>
      <c r="E389" s="188"/>
    </row>
    <row r="390" ht="15.75" customHeight="1">
      <c r="C390" s="188"/>
      <c r="D390" s="188"/>
      <c r="E390" s="188"/>
    </row>
    <row r="391" ht="15.75" customHeight="1">
      <c r="C391" s="188"/>
      <c r="D391" s="188"/>
      <c r="E391" s="188"/>
    </row>
    <row r="392" ht="15.75" customHeight="1">
      <c r="C392" s="188"/>
      <c r="D392" s="188"/>
      <c r="E392" s="188"/>
    </row>
    <row r="393" ht="15.75" customHeight="1">
      <c r="C393" s="188"/>
      <c r="D393" s="188"/>
      <c r="E393" s="188"/>
    </row>
    <row r="394" ht="15.75" customHeight="1">
      <c r="C394" s="188"/>
      <c r="D394" s="188"/>
      <c r="E394" s="188"/>
    </row>
    <row r="395" ht="15.75" customHeight="1">
      <c r="C395" s="188"/>
      <c r="D395" s="188"/>
      <c r="E395" s="188"/>
    </row>
    <row r="396" ht="15.75" customHeight="1">
      <c r="C396" s="188"/>
      <c r="D396" s="188"/>
      <c r="E396" s="188"/>
    </row>
    <row r="397" ht="15.75" customHeight="1">
      <c r="C397" s="188"/>
      <c r="D397" s="188"/>
      <c r="E397" s="188"/>
    </row>
    <row r="398" ht="15.75" customHeight="1">
      <c r="C398" s="188"/>
      <c r="D398" s="188"/>
      <c r="E398" s="188"/>
    </row>
    <row r="399" ht="15.75" customHeight="1">
      <c r="C399" s="188"/>
      <c r="D399" s="188"/>
      <c r="E399" s="188"/>
    </row>
    <row r="400" ht="15.75" customHeight="1">
      <c r="C400" s="188"/>
      <c r="D400" s="188"/>
      <c r="E400" s="188"/>
    </row>
    <row r="401" ht="15.75" customHeight="1">
      <c r="C401" s="188"/>
      <c r="D401" s="188"/>
      <c r="E401" s="188"/>
    </row>
    <row r="402" ht="15.75" customHeight="1">
      <c r="C402" s="188"/>
      <c r="D402" s="188"/>
      <c r="E402" s="188"/>
    </row>
    <row r="403" ht="15.75" customHeight="1">
      <c r="C403" s="188"/>
      <c r="D403" s="188"/>
      <c r="E403" s="188"/>
    </row>
    <row r="404" ht="15.75" customHeight="1">
      <c r="C404" s="188"/>
      <c r="D404" s="188"/>
      <c r="E404" s="188"/>
    </row>
    <row r="405" ht="15.75" customHeight="1">
      <c r="C405" s="188"/>
      <c r="D405" s="188"/>
      <c r="E405" s="188"/>
    </row>
    <row r="406" ht="15.75" customHeight="1">
      <c r="C406" s="188"/>
      <c r="D406" s="188"/>
      <c r="E406" s="188"/>
    </row>
    <row r="407" ht="15.75" customHeight="1">
      <c r="C407" s="188"/>
      <c r="D407" s="188"/>
      <c r="E407" s="188"/>
    </row>
    <row r="408" ht="15.75" customHeight="1">
      <c r="C408" s="188"/>
      <c r="D408" s="188"/>
      <c r="E408" s="188"/>
    </row>
    <row r="409" ht="15.75" customHeight="1">
      <c r="C409" s="188"/>
      <c r="D409" s="188"/>
      <c r="E409" s="188"/>
    </row>
    <row r="410" ht="15.75" customHeight="1">
      <c r="C410" s="188"/>
      <c r="D410" s="188"/>
      <c r="E410" s="188"/>
    </row>
    <row r="411" ht="15.75" customHeight="1">
      <c r="C411" s="188"/>
      <c r="D411" s="188"/>
      <c r="E411" s="188"/>
    </row>
    <row r="412" ht="15.75" customHeight="1">
      <c r="C412" s="188"/>
      <c r="D412" s="188"/>
      <c r="E412" s="188"/>
    </row>
    <row r="413" ht="15.75" customHeight="1">
      <c r="C413" s="188"/>
      <c r="D413" s="188"/>
      <c r="E413" s="188"/>
    </row>
    <row r="414" ht="15.75" customHeight="1">
      <c r="C414" s="188"/>
      <c r="D414" s="188"/>
      <c r="E414" s="188"/>
    </row>
    <row r="415" ht="15.75" customHeight="1">
      <c r="C415" s="188"/>
      <c r="D415" s="188"/>
      <c r="E415" s="188"/>
    </row>
    <row r="416" ht="15.75" customHeight="1">
      <c r="C416" s="188"/>
      <c r="D416" s="188"/>
      <c r="E416" s="188"/>
    </row>
    <row r="417" ht="15.75" customHeight="1">
      <c r="C417" s="188"/>
      <c r="D417" s="188"/>
      <c r="E417" s="188"/>
    </row>
    <row r="418" ht="15.75" customHeight="1">
      <c r="C418" s="188"/>
      <c r="D418" s="188"/>
      <c r="E418" s="188"/>
    </row>
    <row r="419" ht="15.75" customHeight="1">
      <c r="C419" s="188"/>
      <c r="D419" s="188"/>
      <c r="E419" s="188"/>
    </row>
    <row r="420" ht="15.75" customHeight="1">
      <c r="C420" s="188"/>
      <c r="D420" s="188"/>
      <c r="E420" s="188"/>
    </row>
    <row r="421" ht="15.75" customHeight="1">
      <c r="C421" s="188"/>
      <c r="D421" s="188"/>
      <c r="E421" s="188"/>
    </row>
    <row r="422" ht="15.75" customHeight="1">
      <c r="C422" s="188"/>
      <c r="D422" s="188"/>
      <c r="E422" s="188"/>
    </row>
    <row r="423" ht="15.75" customHeight="1">
      <c r="C423" s="188"/>
      <c r="D423" s="188"/>
      <c r="E423" s="188"/>
    </row>
    <row r="424" ht="15.75" customHeight="1">
      <c r="C424" s="188"/>
      <c r="D424" s="188"/>
      <c r="E424" s="188"/>
    </row>
    <row r="425" ht="15.75" customHeight="1">
      <c r="C425" s="188"/>
      <c r="D425" s="188"/>
      <c r="E425" s="188"/>
    </row>
    <row r="426" ht="15.75" customHeight="1">
      <c r="C426" s="188"/>
      <c r="D426" s="188"/>
      <c r="E426" s="188"/>
    </row>
    <row r="427" ht="15.75" customHeight="1">
      <c r="C427" s="188"/>
      <c r="D427" s="188"/>
      <c r="E427" s="188"/>
    </row>
    <row r="428" ht="15.75" customHeight="1">
      <c r="C428" s="188"/>
      <c r="D428" s="188"/>
      <c r="E428" s="188"/>
    </row>
    <row r="429" ht="15.75" customHeight="1">
      <c r="C429" s="188"/>
      <c r="D429" s="188"/>
      <c r="E429" s="188"/>
    </row>
    <row r="430" ht="15.75" customHeight="1">
      <c r="C430" s="188"/>
      <c r="D430" s="188"/>
      <c r="E430" s="188"/>
    </row>
    <row r="431" ht="15.75" customHeight="1">
      <c r="C431" s="188"/>
      <c r="D431" s="188"/>
      <c r="E431" s="188"/>
    </row>
    <row r="432" ht="15.75" customHeight="1">
      <c r="C432" s="188"/>
      <c r="D432" s="188"/>
      <c r="E432" s="188"/>
    </row>
    <row r="433" ht="15.75" customHeight="1">
      <c r="C433" s="188"/>
      <c r="D433" s="188"/>
      <c r="E433" s="188"/>
    </row>
    <row r="434" ht="15.75" customHeight="1">
      <c r="C434" s="188"/>
      <c r="D434" s="188"/>
      <c r="E434" s="188"/>
    </row>
    <row r="435" ht="15.75" customHeight="1">
      <c r="C435" s="188"/>
      <c r="D435" s="188"/>
      <c r="E435" s="188"/>
    </row>
    <row r="436" ht="15.75" customHeight="1">
      <c r="C436" s="188"/>
      <c r="D436" s="188"/>
      <c r="E436" s="188"/>
    </row>
    <row r="437" ht="15.75" customHeight="1">
      <c r="C437" s="188"/>
      <c r="D437" s="188"/>
      <c r="E437" s="188"/>
    </row>
    <row r="438" ht="15.75" customHeight="1">
      <c r="C438" s="188"/>
      <c r="D438" s="188"/>
      <c r="E438" s="188"/>
    </row>
    <row r="439" ht="15.75" customHeight="1">
      <c r="C439" s="188"/>
      <c r="D439" s="188"/>
      <c r="E439" s="188"/>
    </row>
    <row r="440" ht="15.75" customHeight="1">
      <c r="C440" s="188"/>
      <c r="D440" s="188"/>
      <c r="E440" s="188"/>
    </row>
    <row r="441" ht="15.75" customHeight="1">
      <c r="C441" s="188"/>
      <c r="D441" s="188"/>
      <c r="E441" s="188"/>
    </row>
    <row r="442" ht="15.75" customHeight="1">
      <c r="C442" s="188"/>
      <c r="D442" s="188"/>
      <c r="E442" s="188"/>
    </row>
    <row r="443" ht="15.75" customHeight="1">
      <c r="C443" s="188"/>
      <c r="D443" s="188"/>
      <c r="E443" s="188"/>
    </row>
    <row r="444" ht="15.75" customHeight="1">
      <c r="C444" s="188"/>
      <c r="D444" s="188"/>
      <c r="E444" s="188"/>
    </row>
    <row r="445" ht="15.75" customHeight="1">
      <c r="C445" s="188"/>
      <c r="D445" s="188"/>
      <c r="E445" s="188"/>
    </row>
    <row r="446" ht="15.75" customHeight="1">
      <c r="C446" s="188"/>
      <c r="D446" s="188"/>
      <c r="E446" s="188"/>
    </row>
    <row r="447" ht="15.75" customHeight="1">
      <c r="C447" s="188"/>
      <c r="D447" s="188"/>
      <c r="E447" s="188"/>
    </row>
    <row r="448" ht="15.75" customHeight="1">
      <c r="C448" s="188"/>
      <c r="D448" s="188"/>
      <c r="E448" s="188"/>
    </row>
    <row r="449" ht="15.75" customHeight="1">
      <c r="C449" s="188"/>
      <c r="D449" s="188"/>
      <c r="E449" s="188"/>
    </row>
    <row r="450" ht="15.75" customHeight="1">
      <c r="C450" s="188"/>
      <c r="D450" s="188"/>
      <c r="E450" s="188"/>
    </row>
    <row r="451" ht="15.75" customHeight="1">
      <c r="C451" s="188"/>
      <c r="D451" s="188"/>
      <c r="E451" s="188"/>
    </row>
    <row r="452" ht="15.75" customHeight="1">
      <c r="C452" s="188"/>
      <c r="D452" s="188"/>
      <c r="E452" s="188"/>
    </row>
    <row r="453" ht="15.75" customHeight="1">
      <c r="C453" s="188"/>
      <c r="D453" s="188"/>
      <c r="E453" s="188"/>
    </row>
    <row r="454" ht="15.75" customHeight="1">
      <c r="C454" s="188"/>
      <c r="D454" s="188"/>
      <c r="E454" s="188"/>
    </row>
    <row r="455" ht="15.75" customHeight="1">
      <c r="C455" s="188"/>
      <c r="D455" s="188"/>
      <c r="E455" s="188"/>
    </row>
    <row r="456" ht="15.75" customHeight="1">
      <c r="C456" s="188"/>
      <c r="D456" s="188"/>
      <c r="E456" s="188"/>
    </row>
    <row r="457" ht="15.75" customHeight="1">
      <c r="C457" s="188"/>
      <c r="D457" s="188"/>
      <c r="E457" s="188"/>
    </row>
    <row r="458" ht="15.75" customHeight="1">
      <c r="C458" s="188"/>
      <c r="D458" s="188"/>
      <c r="E458" s="188"/>
    </row>
    <row r="459" ht="15.75" customHeight="1">
      <c r="C459" s="188"/>
      <c r="D459" s="188"/>
      <c r="E459" s="188"/>
    </row>
    <row r="460" ht="15.75" customHeight="1">
      <c r="C460" s="188"/>
      <c r="D460" s="188"/>
      <c r="E460" s="188"/>
    </row>
    <row r="461" ht="15.75" customHeight="1">
      <c r="C461" s="188"/>
      <c r="D461" s="188"/>
      <c r="E461" s="188"/>
    </row>
    <row r="462" ht="15.75" customHeight="1">
      <c r="C462" s="188"/>
      <c r="D462" s="188"/>
      <c r="E462" s="188"/>
    </row>
    <row r="463" ht="15.75" customHeight="1">
      <c r="C463" s="188"/>
      <c r="D463" s="188"/>
      <c r="E463" s="188"/>
    </row>
    <row r="464" ht="15.75" customHeight="1">
      <c r="C464" s="188"/>
      <c r="D464" s="188"/>
      <c r="E464" s="188"/>
    </row>
    <row r="465" ht="15.75" customHeight="1">
      <c r="C465" s="188"/>
      <c r="D465" s="188"/>
      <c r="E465" s="188"/>
    </row>
    <row r="466" ht="15.75" customHeight="1">
      <c r="C466" s="188"/>
      <c r="D466" s="188"/>
      <c r="E466" s="188"/>
    </row>
    <row r="467" ht="15.75" customHeight="1">
      <c r="C467" s="188"/>
      <c r="D467" s="188"/>
      <c r="E467" s="188"/>
    </row>
    <row r="468" ht="15.75" customHeight="1">
      <c r="C468" s="188"/>
      <c r="D468" s="188"/>
      <c r="E468" s="188"/>
    </row>
    <row r="469" ht="15.75" customHeight="1">
      <c r="C469" s="188"/>
      <c r="D469" s="188"/>
      <c r="E469" s="188"/>
    </row>
    <row r="470" ht="15.75" customHeight="1">
      <c r="C470" s="188"/>
      <c r="D470" s="188"/>
      <c r="E470" s="188"/>
    </row>
    <row r="471" ht="15.75" customHeight="1">
      <c r="C471" s="188"/>
      <c r="D471" s="188"/>
      <c r="E471" s="188"/>
    </row>
    <row r="472" ht="15.75" customHeight="1">
      <c r="C472" s="188"/>
      <c r="D472" s="188"/>
      <c r="E472" s="188"/>
    </row>
    <row r="473" ht="15.75" customHeight="1">
      <c r="C473" s="188"/>
      <c r="D473" s="188"/>
      <c r="E473" s="188"/>
    </row>
    <row r="474" ht="15.75" customHeight="1">
      <c r="C474" s="188"/>
      <c r="D474" s="188"/>
      <c r="E474" s="188"/>
    </row>
    <row r="475" ht="15.75" customHeight="1">
      <c r="C475" s="188"/>
      <c r="D475" s="188"/>
      <c r="E475" s="188"/>
    </row>
    <row r="476" ht="15.75" customHeight="1">
      <c r="C476" s="188"/>
      <c r="D476" s="188"/>
      <c r="E476" s="188"/>
    </row>
    <row r="477" ht="15.75" customHeight="1">
      <c r="C477" s="188"/>
      <c r="D477" s="188"/>
      <c r="E477" s="188"/>
    </row>
    <row r="478" ht="15.75" customHeight="1">
      <c r="C478" s="188"/>
      <c r="D478" s="188"/>
      <c r="E478" s="188"/>
    </row>
    <row r="479" ht="15.75" customHeight="1">
      <c r="C479" s="188"/>
      <c r="D479" s="188"/>
      <c r="E479" s="188"/>
    </row>
    <row r="480" ht="15.75" customHeight="1">
      <c r="C480" s="188"/>
      <c r="D480" s="188"/>
      <c r="E480" s="188"/>
    </row>
    <row r="481" ht="15.75" customHeight="1">
      <c r="C481" s="188"/>
      <c r="D481" s="188"/>
      <c r="E481" s="188"/>
    </row>
    <row r="482" ht="15.75" customHeight="1">
      <c r="C482" s="188"/>
      <c r="D482" s="188"/>
      <c r="E482" s="188"/>
    </row>
    <row r="483" ht="15.75" customHeight="1">
      <c r="C483" s="188"/>
      <c r="D483" s="188"/>
      <c r="E483" s="188"/>
    </row>
    <row r="484" ht="15.75" customHeight="1">
      <c r="C484" s="188"/>
      <c r="D484" s="188"/>
      <c r="E484" s="188"/>
    </row>
    <row r="485" ht="15.75" customHeight="1">
      <c r="C485" s="188"/>
      <c r="D485" s="188"/>
      <c r="E485" s="188"/>
    </row>
    <row r="486" ht="15.75" customHeight="1">
      <c r="C486" s="188"/>
      <c r="D486" s="188"/>
      <c r="E486" s="188"/>
    </row>
    <row r="487" ht="15.75" customHeight="1">
      <c r="C487" s="188"/>
      <c r="D487" s="188"/>
      <c r="E487" s="188"/>
    </row>
    <row r="488" ht="15.75" customHeight="1">
      <c r="C488" s="188"/>
      <c r="D488" s="188"/>
      <c r="E488" s="188"/>
    </row>
    <row r="489" ht="15.75" customHeight="1">
      <c r="C489" s="188"/>
      <c r="D489" s="188"/>
      <c r="E489" s="188"/>
    </row>
    <row r="490" ht="15.75" customHeight="1">
      <c r="C490" s="188"/>
      <c r="D490" s="188"/>
      <c r="E490" s="188"/>
    </row>
    <row r="491" ht="15.75" customHeight="1">
      <c r="C491" s="188"/>
      <c r="D491" s="188"/>
      <c r="E491" s="188"/>
    </row>
    <row r="492" ht="15.75" customHeight="1">
      <c r="C492" s="188"/>
      <c r="D492" s="188"/>
      <c r="E492" s="188"/>
    </row>
    <row r="493" ht="15.75" customHeight="1">
      <c r="C493" s="188"/>
      <c r="D493" s="188"/>
      <c r="E493" s="188"/>
    </row>
    <row r="494" ht="15.75" customHeight="1">
      <c r="C494" s="188"/>
      <c r="D494" s="188"/>
      <c r="E494" s="188"/>
    </row>
    <row r="495" ht="15.75" customHeight="1">
      <c r="C495" s="188"/>
      <c r="D495" s="188"/>
      <c r="E495" s="188"/>
    </row>
    <row r="496" ht="15.75" customHeight="1">
      <c r="C496" s="188"/>
      <c r="D496" s="188"/>
      <c r="E496" s="188"/>
    </row>
    <row r="497" ht="15.75" customHeight="1">
      <c r="C497" s="188"/>
      <c r="D497" s="188"/>
      <c r="E497" s="188"/>
    </row>
    <row r="498" ht="15.75" customHeight="1">
      <c r="C498" s="188"/>
      <c r="D498" s="188"/>
      <c r="E498" s="188"/>
    </row>
    <row r="499" ht="15.75" customHeight="1">
      <c r="C499" s="188"/>
      <c r="D499" s="188"/>
      <c r="E499" s="188"/>
    </row>
    <row r="500" ht="15.75" customHeight="1">
      <c r="C500" s="188"/>
      <c r="D500" s="188"/>
      <c r="E500" s="188"/>
    </row>
    <row r="501" ht="15.75" customHeight="1">
      <c r="C501" s="188"/>
      <c r="D501" s="188"/>
      <c r="E501" s="188"/>
    </row>
    <row r="502" ht="15.75" customHeight="1">
      <c r="C502" s="188"/>
      <c r="D502" s="188"/>
      <c r="E502" s="188"/>
    </row>
    <row r="503" ht="15.75" customHeight="1">
      <c r="C503" s="188"/>
      <c r="D503" s="188"/>
      <c r="E503" s="188"/>
    </row>
    <row r="504" ht="15.75" customHeight="1">
      <c r="C504" s="188"/>
      <c r="D504" s="188"/>
      <c r="E504" s="188"/>
    </row>
    <row r="505" ht="15.75" customHeight="1">
      <c r="C505" s="188"/>
      <c r="D505" s="188"/>
      <c r="E505" s="188"/>
    </row>
    <row r="506" ht="15.75" customHeight="1">
      <c r="C506" s="188"/>
      <c r="D506" s="188"/>
      <c r="E506" s="188"/>
    </row>
    <row r="507" ht="15.75" customHeight="1">
      <c r="C507" s="188"/>
      <c r="D507" s="188"/>
      <c r="E507" s="188"/>
    </row>
    <row r="508" ht="15.75" customHeight="1">
      <c r="C508" s="188"/>
      <c r="D508" s="188"/>
      <c r="E508" s="188"/>
    </row>
    <row r="509" ht="15.75" customHeight="1">
      <c r="C509" s="188"/>
      <c r="D509" s="188"/>
      <c r="E509" s="188"/>
    </row>
    <row r="510" ht="15.75" customHeight="1">
      <c r="C510" s="188"/>
      <c r="D510" s="188"/>
      <c r="E510" s="188"/>
    </row>
    <row r="511" ht="15.75" customHeight="1">
      <c r="C511" s="188"/>
      <c r="D511" s="188"/>
      <c r="E511" s="188"/>
    </row>
    <row r="512" ht="15.75" customHeight="1">
      <c r="C512" s="188"/>
      <c r="D512" s="188"/>
      <c r="E512" s="188"/>
    </row>
    <row r="513" ht="15.75" customHeight="1">
      <c r="C513" s="188"/>
      <c r="D513" s="188"/>
      <c r="E513" s="188"/>
    </row>
    <row r="514" ht="15.75" customHeight="1">
      <c r="C514" s="188"/>
      <c r="D514" s="188"/>
      <c r="E514" s="188"/>
    </row>
    <row r="515" ht="15.75" customHeight="1">
      <c r="C515" s="188"/>
      <c r="D515" s="188"/>
      <c r="E515" s="188"/>
    </row>
    <row r="516" ht="15.75" customHeight="1">
      <c r="C516" s="188"/>
      <c r="D516" s="188"/>
      <c r="E516" s="188"/>
    </row>
    <row r="517" ht="15.75" customHeight="1">
      <c r="C517" s="188"/>
      <c r="D517" s="188"/>
      <c r="E517" s="188"/>
    </row>
    <row r="518" ht="15.75" customHeight="1">
      <c r="C518" s="188"/>
      <c r="D518" s="188"/>
      <c r="E518" s="188"/>
    </row>
    <row r="519" ht="15.75" customHeight="1">
      <c r="C519" s="188"/>
      <c r="D519" s="188"/>
      <c r="E519" s="188"/>
    </row>
    <row r="520" ht="15.75" customHeight="1">
      <c r="C520" s="188"/>
      <c r="D520" s="188"/>
      <c r="E520" s="188"/>
    </row>
    <row r="521" ht="15.75" customHeight="1">
      <c r="C521" s="188"/>
      <c r="D521" s="188"/>
      <c r="E521" s="188"/>
    </row>
    <row r="522" ht="15.75" customHeight="1">
      <c r="C522" s="188"/>
      <c r="D522" s="188"/>
      <c r="E522" s="188"/>
    </row>
    <row r="523" ht="15.75" customHeight="1">
      <c r="C523" s="188"/>
      <c r="D523" s="188"/>
      <c r="E523" s="188"/>
    </row>
    <row r="524" ht="15.75" customHeight="1">
      <c r="C524" s="188"/>
      <c r="D524" s="188"/>
      <c r="E524" s="188"/>
    </row>
    <row r="525" ht="15.75" customHeight="1">
      <c r="C525" s="188"/>
      <c r="D525" s="188"/>
      <c r="E525" s="188"/>
    </row>
    <row r="526" ht="15.75" customHeight="1">
      <c r="C526" s="188"/>
      <c r="D526" s="188"/>
      <c r="E526" s="188"/>
    </row>
    <row r="527" ht="15.75" customHeight="1">
      <c r="C527" s="188"/>
      <c r="D527" s="188"/>
      <c r="E527" s="188"/>
    </row>
    <row r="528" ht="15.75" customHeight="1">
      <c r="C528" s="188"/>
      <c r="D528" s="188"/>
      <c r="E528" s="188"/>
    </row>
    <row r="529" ht="15.75" customHeight="1">
      <c r="C529" s="188"/>
      <c r="D529" s="188"/>
      <c r="E529" s="188"/>
    </row>
    <row r="530" ht="15.75" customHeight="1">
      <c r="C530" s="188"/>
      <c r="D530" s="188"/>
      <c r="E530" s="188"/>
    </row>
    <row r="531" ht="15.75" customHeight="1">
      <c r="C531" s="188"/>
      <c r="D531" s="188"/>
      <c r="E531" s="188"/>
    </row>
    <row r="532" ht="15.75" customHeight="1">
      <c r="C532" s="188"/>
      <c r="D532" s="188"/>
      <c r="E532" s="188"/>
    </row>
    <row r="533" ht="15.75" customHeight="1">
      <c r="C533" s="188"/>
      <c r="D533" s="188"/>
      <c r="E533" s="188"/>
    </row>
    <row r="534" ht="15.75" customHeight="1">
      <c r="C534" s="188"/>
      <c r="D534" s="188"/>
      <c r="E534" s="188"/>
    </row>
    <row r="535" ht="15.75" customHeight="1">
      <c r="C535" s="188"/>
      <c r="D535" s="188"/>
      <c r="E535" s="188"/>
    </row>
    <row r="536" ht="15.75" customHeight="1">
      <c r="C536" s="188"/>
      <c r="D536" s="188"/>
      <c r="E536" s="188"/>
    </row>
    <row r="537" ht="15.75" customHeight="1">
      <c r="C537" s="188"/>
      <c r="D537" s="188"/>
      <c r="E537" s="188"/>
    </row>
    <row r="538" ht="15.75" customHeight="1">
      <c r="C538" s="188"/>
      <c r="D538" s="188"/>
      <c r="E538" s="188"/>
    </row>
    <row r="539" ht="15.75" customHeight="1">
      <c r="C539" s="188"/>
      <c r="D539" s="188"/>
      <c r="E539" s="188"/>
    </row>
    <row r="540" ht="15.75" customHeight="1">
      <c r="C540" s="188"/>
      <c r="D540" s="188"/>
      <c r="E540" s="188"/>
    </row>
    <row r="541" ht="15.75" customHeight="1">
      <c r="C541" s="188"/>
      <c r="D541" s="188"/>
      <c r="E541" s="188"/>
    </row>
    <row r="542" ht="15.75" customHeight="1">
      <c r="C542" s="188"/>
      <c r="D542" s="188"/>
      <c r="E542" s="188"/>
    </row>
    <row r="543" ht="15.75" customHeight="1">
      <c r="C543" s="188"/>
      <c r="D543" s="188"/>
      <c r="E543" s="188"/>
    </row>
    <row r="544" ht="15.75" customHeight="1">
      <c r="C544" s="188"/>
      <c r="D544" s="188"/>
      <c r="E544" s="188"/>
    </row>
    <row r="545" ht="15.75" customHeight="1">
      <c r="C545" s="188"/>
      <c r="D545" s="188"/>
      <c r="E545" s="188"/>
    </row>
    <row r="546" ht="15.75" customHeight="1">
      <c r="C546" s="188"/>
      <c r="D546" s="188"/>
      <c r="E546" s="188"/>
    </row>
    <row r="547" ht="15.75" customHeight="1">
      <c r="C547" s="188"/>
      <c r="D547" s="188"/>
      <c r="E547" s="188"/>
    </row>
    <row r="548" ht="15.75" customHeight="1">
      <c r="C548" s="188"/>
      <c r="D548" s="188"/>
      <c r="E548" s="188"/>
    </row>
    <row r="549" ht="15.75" customHeight="1">
      <c r="C549" s="188"/>
      <c r="D549" s="188"/>
      <c r="E549" s="188"/>
    </row>
    <row r="550" ht="15.75" customHeight="1">
      <c r="C550" s="188"/>
      <c r="D550" s="188"/>
      <c r="E550" s="188"/>
    </row>
    <row r="551" ht="15.75" customHeight="1">
      <c r="C551" s="188"/>
      <c r="D551" s="188"/>
      <c r="E551" s="188"/>
    </row>
    <row r="552" ht="15.75" customHeight="1">
      <c r="C552" s="188"/>
      <c r="D552" s="188"/>
      <c r="E552" s="188"/>
    </row>
    <row r="553" ht="15.75" customHeight="1">
      <c r="C553" s="188"/>
      <c r="D553" s="188"/>
      <c r="E553" s="188"/>
    </row>
    <row r="554" ht="15.75" customHeight="1">
      <c r="C554" s="188"/>
      <c r="D554" s="188"/>
      <c r="E554" s="188"/>
    </row>
    <row r="555" ht="15.75" customHeight="1">
      <c r="C555" s="188"/>
      <c r="D555" s="188"/>
      <c r="E555" s="188"/>
    </row>
    <row r="556" ht="15.75" customHeight="1">
      <c r="C556" s="188"/>
      <c r="D556" s="188"/>
      <c r="E556" s="188"/>
    </row>
    <row r="557" ht="15.75" customHeight="1">
      <c r="C557" s="188"/>
      <c r="D557" s="188"/>
      <c r="E557" s="188"/>
    </row>
    <row r="558" ht="15.75" customHeight="1">
      <c r="C558" s="188"/>
      <c r="D558" s="188"/>
      <c r="E558" s="188"/>
    </row>
    <row r="559" ht="15.75" customHeight="1">
      <c r="C559" s="188"/>
      <c r="D559" s="188"/>
      <c r="E559" s="188"/>
    </row>
    <row r="560" ht="15.75" customHeight="1">
      <c r="C560" s="188"/>
      <c r="D560" s="188"/>
      <c r="E560" s="188"/>
    </row>
    <row r="561" ht="15.75" customHeight="1">
      <c r="C561" s="188"/>
      <c r="D561" s="188"/>
      <c r="E561" s="188"/>
    </row>
    <row r="562" ht="15.75" customHeight="1">
      <c r="C562" s="188"/>
      <c r="D562" s="188"/>
      <c r="E562" s="188"/>
    </row>
    <row r="563" ht="15.75" customHeight="1">
      <c r="C563" s="188"/>
      <c r="D563" s="188"/>
      <c r="E563" s="188"/>
    </row>
    <row r="564" ht="15.75" customHeight="1">
      <c r="C564" s="188"/>
      <c r="D564" s="188"/>
      <c r="E564" s="188"/>
    </row>
    <row r="565" ht="15.75" customHeight="1">
      <c r="C565" s="188"/>
      <c r="D565" s="188"/>
      <c r="E565" s="188"/>
    </row>
    <row r="566" ht="15.75" customHeight="1">
      <c r="C566" s="188"/>
      <c r="D566" s="188"/>
      <c r="E566" s="188"/>
    </row>
    <row r="567" ht="15.75" customHeight="1">
      <c r="C567" s="188"/>
      <c r="D567" s="188"/>
      <c r="E567" s="188"/>
    </row>
    <row r="568" ht="15.75" customHeight="1">
      <c r="C568" s="188"/>
      <c r="D568" s="188"/>
      <c r="E568" s="188"/>
    </row>
    <row r="569" ht="15.75" customHeight="1">
      <c r="C569" s="188"/>
      <c r="D569" s="188"/>
      <c r="E569" s="188"/>
    </row>
    <row r="570" ht="15.75" customHeight="1">
      <c r="C570" s="188"/>
      <c r="D570" s="188"/>
      <c r="E570" s="188"/>
    </row>
    <row r="571" ht="15.75" customHeight="1">
      <c r="C571" s="188"/>
      <c r="D571" s="188"/>
      <c r="E571" s="188"/>
    </row>
    <row r="572" ht="15.75" customHeight="1">
      <c r="C572" s="188"/>
      <c r="D572" s="188"/>
      <c r="E572" s="188"/>
    </row>
    <row r="573" ht="15.75" customHeight="1">
      <c r="C573" s="188"/>
      <c r="D573" s="188"/>
      <c r="E573" s="188"/>
    </row>
    <row r="574" ht="15.75" customHeight="1">
      <c r="C574" s="188"/>
      <c r="D574" s="188"/>
      <c r="E574" s="188"/>
    </row>
    <row r="575" ht="15.75" customHeight="1">
      <c r="C575" s="188"/>
      <c r="D575" s="188"/>
      <c r="E575" s="188"/>
    </row>
    <row r="576" ht="15.75" customHeight="1">
      <c r="C576" s="188"/>
      <c r="D576" s="188"/>
      <c r="E576" s="188"/>
    </row>
    <row r="577" ht="15.75" customHeight="1">
      <c r="C577" s="188"/>
      <c r="D577" s="188"/>
      <c r="E577" s="188"/>
    </row>
    <row r="578" ht="15.75" customHeight="1">
      <c r="C578" s="188"/>
      <c r="D578" s="188"/>
      <c r="E578" s="188"/>
    </row>
    <row r="579" ht="15.75" customHeight="1">
      <c r="C579" s="188"/>
      <c r="D579" s="188"/>
      <c r="E579" s="188"/>
    </row>
    <row r="580" ht="15.75" customHeight="1">
      <c r="C580" s="188"/>
      <c r="D580" s="188"/>
      <c r="E580" s="188"/>
    </row>
    <row r="581" ht="15.75" customHeight="1">
      <c r="C581" s="188"/>
      <c r="D581" s="188"/>
      <c r="E581" s="188"/>
    </row>
    <row r="582" ht="15.75" customHeight="1">
      <c r="C582" s="188"/>
      <c r="D582" s="188"/>
      <c r="E582" s="188"/>
    </row>
    <row r="583" ht="15.75" customHeight="1">
      <c r="C583" s="188"/>
      <c r="D583" s="188"/>
      <c r="E583" s="188"/>
    </row>
    <row r="584" ht="15.75" customHeight="1">
      <c r="C584" s="188"/>
      <c r="D584" s="188"/>
      <c r="E584" s="188"/>
    </row>
    <row r="585" ht="15.75" customHeight="1">
      <c r="C585" s="188"/>
      <c r="D585" s="188"/>
      <c r="E585" s="188"/>
    </row>
    <row r="586" ht="15.75" customHeight="1">
      <c r="C586" s="188"/>
      <c r="D586" s="188"/>
      <c r="E586" s="188"/>
    </row>
    <row r="587" ht="15.75" customHeight="1">
      <c r="C587" s="188"/>
      <c r="D587" s="188"/>
      <c r="E587" s="188"/>
    </row>
    <row r="588" ht="15.75" customHeight="1">
      <c r="C588" s="188"/>
      <c r="D588" s="188"/>
      <c r="E588" s="188"/>
    </row>
    <row r="589" ht="15.75" customHeight="1">
      <c r="C589" s="188"/>
      <c r="D589" s="188"/>
      <c r="E589" s="188"/>
    </row>
    <row r="590" ht="15.75" customHeight="1">
      <c r="C590" s="188"/>
      <c r="D590" s="188"/>
      <c r="E590" s="188"/>
    </row>
    <row r="591" ht="15.75" customHeight="1">
      <c r="C591" s="188"/>
      <c r="D591" s="188"/>
      <c r="E591" s="188"/>
    </row>
    <row r="592" ht="15.75" customHeight="1">
      <c r="C592" s="188"/>
      <c r="D592" s="188"/>
      <c r="E592" s="188"/>
    </row>
    <row r="593" ht="15.75" customHeight="1">
      <c r="C593" s="188"/>
      <c r="D593" s="188"/>
      <c r="E593" s="188"/>
    </row>
    <row r="594" ht="15.75" customHeight="1">
      <c r="C594" s="188"/>
      <c r="D594" s="188"/>
      <c r="E594" s="188"/>
    </row>
    <row r="595" ht="15.75" customHeight="1">
      <c r="C595" s="188"/>
      <c r="D595" s="188"/>
      <c r="E595" s="188"/>
    </row>
    <row r="596" ht="15.75" customHeight="1">
      <c r="C596" s="188"/>
      <c r="D596" s="188"/>
      <c r="E596" s="188"/>
    </row>
    <row r="597" ht="15.75" customHeight="1">
      <c r="C597" s="188"/>
      <c r="D597" s="188"/>
      <c r="E597" s="188"/>
    </row>
    <row r="598" ht="15.75" customHeight="1">
      <c r="C598" s="188"/>
      <c r="D598" s="188"/>
      <c r="E598" s="188"/>
    </row>
    <row r="599" ht="15.75" customHeight="1">
      <c r="C599" s="188"/>
      <c r="D599" s="188"/>
      <c r="E599" s="188"/>
    </row>
    <row r="600" ht="15.75" customHeight="1">
      <c r="C600" s="188"/>
      <c r="D600" s="188"/>
      <c r="E600" s="188"/>
    </row>
    <row r="601" ht="15.75" customHeight="1">
      <c r="C601" s="188"/>
      <c r="D601" s="188"/>
      <c r="E601" s="188"/>
    </row>
    <row r="602" ht="15.75" customHeight="1">
      <c r="C602" s="188"/>
      <c r="D602" s="188"/>
      <c r="E602" s="188"/>
    </row>
    <row r="603" ht="15.75" customHeight="1">
      <c r="C603" s="188"/>
      <c r="D603" s="188"/>
      <c r="E603" s="188"/>
    </row>
    <row r="604" ht="15.75" customHeight="1">
      <c r="C604" s="188"/>
      <c r="D604" s="188"/>
      <c r="E604" s="188"/>
    </row>
    <row r="605" ht="15.75" customHeight="1">
      <c r="C605" s="188"/>
      <c r="D605" s="188"/>
      <c r="E605" s="188"/>
    </row>
    <row r="606" ht="15.75" customHeight="1">
      <c r="C606" s="188"/>
      <c r="D606" s="188"/>
      <c r="E606" s="188"/>
    </row>
    <row r="607" ht="15.75" customHeight="1">
      <c r="C607" s="188"/>
      <c r="D607" s="188"/>
      <c r="E607" s="188"/>
    </row>
    <row r="608" ht="15.75" customHeight="1">
      <c r="C608" s="188"/>
      <c r="D608" s="188"/>
      <c r="E608" s="188"/>
    </row>
    <row r="609" ht="15.75" customHeight="1">
      <c r="C609" s="188"/>
      <c r="D609" s="188"/>
      <c r="E609" s="188"/>
    </row>
    <row r="610" ht="15.75" customHeight="1">
      <c r="C610" s="188"/>
      <c r="D610" s="188"/>
      <c r="E610" s="188"/>
    </row>
    <row r="611" ht="15.75" customHeight="1">
      <c r="C611" s="188"/>
      <c r="D611" s="188"/>
      <c r="E611" s="188"/>
    </row>
    <row r="612" ht="15.75" customHeight="1">
      <c r="C612" s="188"/>
      <c r="D612" s="188"/>
      <c r="E612" s="188"/>
    </row>
    <row r="613" ht="15.75" customHeight="1">
      <c r="C613" s="188"/>
      <c r="D613" s="188"/>
      <c r="E613" s="188"/>
    </row>
    <row r="614" ht="15.75" customHeight="1">
      <c r="C614" s="188"/>
      <c r="D614" s="188"/>
      <c r="E614" s="188"/>
    </row>
    <row r="615" ht="15.75" customHeight="1">
      <c r="C615" s="188"/>
      <c r="D615" s="188"/>
      <c r="E615" s="188"/>
    </row>
    <row r="616" ht="15.75" customHeight="1">
      <c r="C616" s="188"/>
      <c r="D616" s="188"/>
      <c r="E616" s="188"/>
    </row>
    <row r="617" ht="15.75" customHeight="1">
      <c r="C617" s="188"/>
      <c r="D617" s="188"/>
      <c r="E617" s="188"/>
    </row>
    <row r="618" ht="15.75" customHeight="1">
      <c r="C618" s="188"/>
      <c r="D618" s="188"/>
      <c r="E618" s="188"/>
    </row>
    <row r="619" ht="15.75" customHeight="1">
      <c r="C619" s="188"/>
      <c r="D619" s="188"/>
      <c r="E619" s="188"/>
    </row>
    <row r="620" ht="15.75" customHeight="1">
      <c r="C620" s="188"/>
      <c r="D620" s="188"/>
      <c r="E620" s="188"/>
    </row>
    <row r="621" ht="15.75" customHeight="1">
      <c r="C621" s="188"/>
      <c r="D621" s="188"/>
      <c r="E621" s="188"/>
    </row>
    <row r="622" ht="15.75" customHeight="1">
      <c r="C622" s="188"/>
      <c r="D622" s="188"/>
      <c r="E622" s="188"/>
    </row>
    <row r="623" ht="15.75" customHeight="1">
      <c r="C623" s="188"/>
      <c r="D623" s="188"/>
      <c r="E623" s="188"/>
    </row>
    <row r="624" ht="15.75" customHeight="1">
      <c r="C624" s="188"/>
      <c r="D624" s="188"/>
      <c r="E624" s="188"/>
    </row>
    <row r="625" ht="15.75" customHeight="1">
      <c r="C625" s="188"/>
      <c r="D625" s="188"/>
      <c r="E625" s="188"/>
    </row>
    <row r="626" ht="15.75" customHeight="1">
      <c r="C626" s="188"/>
      <c r="D626" s="188"/>
      <c r="E626" s="188"/>
    </row>
    <row r="627" ht="15.75" customHeight="1">
      <c r="C627" s="188"/>
      <c r="D627" s="188"/>
      <c r="E627" s="188"/>
    </row>
    <row r="628" ht="15.75" customHeight="1">
      <c r="C628" s="188"/>
      <c r="D628" s="188"/>
      <c r="E628" s="188"/>
    </row>
    <row r="629" ht="15.75" customHeight="1">
      <c r="C629" s="188"/>
      <c r="D629" s="188"/>
      <c r="E629" s="188"/>
    </row>
    <row r="630" ht="15.75" customHeight="1">
      <c r="C630" s="188"/>
      <c r="D630" s="188"/>
      <c r="E630" s="188"/>
    </row>
    <row r="631" ht="15.75" customHeight="1">
      <c r="C631" s="188"/>
      <c r="D631" s="188"/>
      <c r="E631" s="188"/>
    </row>
    <row r="632" ht="15.75" customHeight="1">
      <c r="C632" s="188"/>
      <c r="D632" s="188"/>
      <c r="E632" s="188"/>
    </row>
    <row r="633" ht="15.75" customHeight="1">
      <c r="C633" s="188"/>
      <c r="D633" s="188"/>
      <c r="E633" s="188"/>
    </row>
    <row r="634" ht="15.75" customHeight="1">
      <c r="C634" s="188"/>
      <c r="D634" s="188"/>
      <c r="E634" s="188"/>
    </row>
    <row r="635" ht="15.75" customHeight="1">
      <c r="C635" s="188"/>
      <c r="D635" s="188"/>
      <c r="E635" s="188"/>
    </row>
    <row r="636" ht="15.75" customHeight="1">
      <c r="C636" s="188"/>
      <c r="D636" s="188"/>
      <c r="E636" s="188"/>
    </row>
    <row r="637" ht="15.75" customHeight="1">
      <c r="C637" s="188"/>
      <c r="D637" s="188"/>
      <c r="E637" s="188"/>
    </row>
    <row r="638" ht="15.75" customHeight="1">
      <c r="C638" s="188"/>
      <c r="D638" s="188"/>
      <c r="E638" s="188"/>
    </row>
    <row r="639" ht="15.75" customHeight="1">
      <c r="C639" s="188"/>
      <c r="D639" s="188"/>
      <c r="E639" s="188"/>
    </row>
    <row r="640" ht="15.75" customHeight="1">
      <c r="C640" s="188"/>
      <c r="D640" s="188"/>
      <c r="E640" s="188"/>
    </row>
    <row r="641" ht="15.75" customHeight="1">
      <c r="C641" s="188"/>
      <c r="D641" s="188"/>
      <c r="E641" s="188"/>
    </row>
    <row r="642" ht="15.75" customHeight="1">
      <c r="C642" s="188"/>
      <c r="D642" s="188"/>
      <c r="E642" s="188"/>
    </row>
    <row r="643" ht="15.75" customHeight="1">
      <c r="C643" s="188"/>
      <c r="D643" s="188"/>
      <c r="E643" s="188"/>
    </row>
    <row r="644" ht="15.75" customHeight="1">
      <c r="C644" s="188"/>
      <c r="D644" s="188"/>
      <c r="E644" s="188"/>
    </row>
    <row r="645" ht="15.75" customHeight="1">
      <c r="C645" s="188"/>
      <c r="D645" s="188"/>
      <c r="E645" s="188"/>
    </row>
    <row r="646" ht="15.75" customHeight="1">
      <c r="C646" s="188"/>
      <c r="D646" s="188"/>
      <c r="E646" s="188"/>
    </row>
    <row r="647" ht="15.75" customHeight="1">
      <c r="C647" s="188"/>
      <c r="D647" s="188"/>
      <c r="E647" s="188"/>
    </row>
    <row r="648" ht="15.75" customHeight="1">
      <c r="C648" s="188"/>
      <c r="D648" s="188"/>
      <c r="E648" s="188"/>
    </row>
    <row r="649" ht="15.75" customHeight="1">
      <c r="C649" s="188"/>
      <c r="D649" s="188"/>
      <c r="E649" s="188"/>
    </row>
    <row r="650" ht="15.75" customHeight="1">
      <c r="C650" s="188"/>
      <c r="D650" s="188"/>
      <c r="E650" s="188"/>
    </row>
    <row r="651" ht="15.75" customHeight="1">
      <c r="C651" s="188"/>
      <c r="D651" s="188"/>
      <c r="E651" s="188"/>
    </row>
    <row r="652" ht="15.75" customHeight="1">
      <c r="C652" s="188"/>
      <c r="D652" s="188"/>
      <c r="E652" s="188"/>
    </row>
    <row r="653" ht="15.75" customHeight="1">
      <c r="C653" s="188"/>
      <c r="D653" s="188"/>
      <c r="E653" s="188"/>
    </row>
    <row r="654" ht="15.75" customHeight="1">
      <c r="C654" s="188"/>
      <c r="D654" s="188"/>
      <c r="E654" s="188"/>
    </row>
    <row r="655" ht="15.75" customHeight="1">
      <c r="C655" s="188"/>
      <c r="D655" s="188"/>
      <c r="E655" s="188"/>
    </row>
    <row r="656" ht="15.75" customHeight="1">
      <c r="C656" s="188"/>
      <c r="D656" s="188"/>
      <c r="E656" s="188"/>
    </row>
    <row r="657" ht="15.75" customHeight="1">
      <c r="C657" s="188"/>
      <c r="D657" s="188"/>
      <c r="E657" s="188"/>
    </row>
    <row r="658" ht="15.75" customHeight="1">
      <c r="C658" s="188"/>
      <c r="D658" s="188"/>
      <c r="E658" s="188"/>
    </row>
    <row r="659" ht="15.75" customHeight="1">
      <c r="C659" s="188"/>
      <c r="D659" s="188"/>
      <c r="E659" s="188"/>
    </row>
    <row r="660" ht="15.75" customHeight="1">
      <c r="C660" s="188"/>
      <c r="D660" s="188"/>
      <c r="E660" s="188"/>
    </row>
    <row r="661" ht="15.75" customHeight="1">
      <c r="C661" s="188"/>
      <c r="D661" s="188"/>
      <c r="E661" s="188"/>
    </row>
    <row r="662" ht="15.75" customHeight="1">
      <c r="C662" s="188"/>
      <c r="D662" s="188"/>
      <c r="E662" s="188"/>
    </row>
    <row r="663" ht="15.75" customHeight="1">
      <c r="C663" s="188"/>
      <c r="D663" s="188"/>
      <c r="E663" s="188"/>
    </row>
    <row r="664" ht="15.75" customHeight="1">
      <c r="C664" s="188"/>
      <c r="D664" s="188"/>
      <c r="E664" s="188"/>
    </row>
    <row r="665" ht="15.75" customHeight="1">
      <c r="C665" s="188"/>
      <c r="D665" s="188"/>
      <c r="E665" s="188"/>
    </row>
    <row r="666" ht="15.75" customHeight="1">
      <c r="C666" s="188"/>
      <c r="D666" s="188"/>
      <c r="E666" s="188"/>
    </row>
    <row r="667" ht="15.75" customHeight="1">
      <c r="C667" s="188"/>
      <c r="D667" s="188"/>
      <c r="E667" s="188"/>
    </row>
    <row r="668" ht="15.75" customHeight="1">
      <c r="C668" s="188"/>
      <c r="D668" s="188"/>
      <c r="E668" s="188"/>
    </row>
    <row r="669" ht="15.75" customHeight="1">
      <c r="C669" s="188"/>
      <c r="D669" s="188"/>
      <c r="E669" s="188"/>
    </row>
    <row r="670" ht="15.75" customHeight="1">
      <c r="C670" s="188"/>
      <c r="D670" s="188"/>
      <c r="E670" s="188"/>
    </row>
    <row r="671" ht="15.75" customHeight="1">
      <c r="C671" s="188"/>
      <c r="D671" s="188"/>
      <c r="E671" s="188"/>
    </row>
    <row r="672" ht="15.75" customHeight="1">
      <c r="C672" s="188"/>
      <c r="D672" s="188"/>
      <c r="E672" s="188"/>
    </row>
    <row r="673" ht="15.75" customHeight="1">
      <c r="C673" s="188"/>
      <c r="D673" s="188"/>
      <c r="E673" s="188"/>
    </row>
    <row r="674" ht="15.75" customHeight="1">
      <c r="C674" s="188"/>
      <c r="D674" s="188"/>
      <c r="E674" s="188"/>
    </row>
    <row r="675" ht="15.75" customHeight="1">
      <c r="C675" s="188"/>
      <c r="D675" s="188"/>
      <c r="E675" s="188"/>
    </row>
    <row r="676" ht="15.75" customHeight="1">
      <c r="C676" s="188"/>
      <c r="D676" s="188"/>
      <c r="E676" s="188"/>
    </row>
    <row r="677" ht="15.75" customHeight="1">
      <c r="C677" s="188"/>
      <c r="D677" s="188"/>
      <c r="E677" s="188"/>
    </row>
    <row r="678" ht="15.75" customHeight="1">
      <c r="C678" s="188"/>
      <c r="D678" s="188"/>
      <c r="E678" s="188"/>
    </row>
    <row r="679" ht="15.75" customHeight="1">
      <c r="C679" s="188"/>
      <c r="D679" s="188"/>
      <c r="E679" s="188"/>
    </row>
    <row r="680" ht="15.75" customHeight="1">
      <c r="C680" s="188"/>
      <c r="D680" s="188"/>
      <c r="E680" s="188"/>
    </row>
    <row r="681" ht="15.75" customHeight="1">
      <c r="C681" s="188"/>
      <c r="D681" s="188"/>
      <c r="E681" s="188"/>
    </row>
    <row r="682" ht="15.75" customHeight="1">
      <c r="C682" s="188"/>
      <c r="D682" s="188"/>
      <c r="E682" s="188"/>
    </row>
    <row r="683" ht="15.75" customHeight="1">
      <c r="C683" s="188"/>
      <c r="D683" s="188"/>
      <c r="E683" s="188"/>
    </row>
    <row r="684" ht="15.75" customHeight="1">
      <c r="C684" s="188"/>
      <c r="D684" s="188"/>
      <c r="E684" s="188"/>
    </row>
    <row r="685" ht="15.75" customHeight="1">
      <c r="C685" s="188"/>
      <c r="D685" s="188"/>
      <c r="E685" s="188"/>
    </row>
    <row r="686" ht="15.75" customHeight="1">
      <c r="C686" s="188"/>
      <c r="D686" s="188"/>
      <c r="E686" s="188"/>
    </row>
    <row r="687" ht="15.75" customHeight="1">
      <c r="C687" s="188"/>
      <c r="D687" s="188"/>
      <c r="E687" s="188"/>
    </row>
    <row r="688" ht="15.75" customHeight="1">
      <c r="C688" s="188"/>
      <c r="D688" s="188"/>
      <c r="E688" s="188"/>
    </row>
    <row r="689" ht="15.75" customHeight="1">
      <c r="C689" s="188"/>
      <c r="D689" s="188"/>
      <c r="E689" s="188"/>
    </row>
    <row r="690" ht="15.75" customHeight="1">
      <c r="C690" s="188"/>
      <c r="D690" s="188"/>
      <c r="E690" s="188"/>
    </row>
    <row r="691" ht="15.75" customHeight="1">
      <c r="C691" s="188"/>
      <c r="D691" s="188"/>
      <c r="E691" s="188"/>
    </row>
    <row r="692" ht="15.75" customHeight="1">
      <c r="C692" s="188"/>
      <c r="D692" s="188"/>
      <c r="E692" s="188"/>
    </row>
    <row r="693" ht="15.75" customHeight="1">
      <c r="C693" s="188"/>
      <c r="D693" s="188"/>
      <c r="E693" s="188"/>
    </row>
    <row r="694" ht="15.75" customHeight="1">
      <c r="C694" s="188"/>
      <c r="D694" s="188"/>
      <c r="E694" s="188"/>
    </row>
    <row r="695" ht="15.75" customHeight="1">
      <c r="C695" s="188"/>
      <c r="D695" s="188"/>
      <c r="E695" s="188"/>
    </row>
    <row r="696" ht="15.75" customHeight="1">
      <c r="C696" s="188"/>
      <c r="D696" s="188"/>
      <c r="E696" s="188"/>
    </row>
    <row r="697" ht="15.75" customHeight="1">
      <c r="C697" s="188"/>
      <c r="D697" s="188"/>
      <c r="E697" s="188"/>
    </row>
    <row r="698" ht="15.75" customHeight="1">
      <c r="C698" s="188"/>
      <c r="D698" s="188"/>
      <c r="E698" s="188"/>
    </row>
    <row r="699" ht="15.75" customHeight="1">
      <c r="C699" s="188"/>
      <c r="D699" s="188"/>
      <c r="E699" s="188"/>
    </row>
    <row r="700" ht="15.75" customHeight="1">
      <c r="C700" s="188"/>
      <c r="D700" s="188"/>
      <c r="E700" s="188"/>
    </row>
    <row r="701" ht="15.75" customHeight="1">
      <c r="C701" s="188"/>
      <c r="D701" s="188"/>
      <c r="E701" s="188"/>
    </row>
    <row r="702" ht="15.75" customHeight="1">
      <c r="C702" s="188"/>
      <c r="D702" s="188"/>
      <c r="E702" s="188"/>
    </row>
    <row r="703" ht="15.75" customHeight="1">
      <c r="C703" s="188"/>
      <c r="D703" s="188"/>
      <c r="E703" s="188"/>
    </row>
    <row r="704" ht="15.75" customHeight="1">
      <c r="C704" s="188"/>
      <c r="D704" s="188"/>
      <c r="E704" s="188"/>
    </row>
    <row r="705" ht="15.75" customHeight="1">
      <c r="C705" s="188"/>
      <c r="D705" s="188"/>
      <c r="E705" s="188"/>
    </row>
    <row r="706" ht="15.75" customHeight="1">
      <c r="C706" s="188"/>
      <c r="D706" s="188"/>
      <c r="E706" s="188"/>
    </row>
    <row r="707" ht="15.75" customHeight="1">
      <c r="C707" s="188"/>
      <c r="D707" s="188"/>
      <c r="E707" s="188"/>
    </row>
    <row r="708" ht="15.75" customHeight="1">
      <c r="C708" s="188"/>
      <c r="D708" s="188"/>
      <c r="E708" s="188"/>
    </row>
    <row r="709" ht="15.75" customHeight="1">
      <c r="C709" s="188"/>
      <c r="D709" s="188"/>
      <c r="E709" s="188"/>
    </row>
    <row r="710" ht="15.75" customHeight="1">
      <c r="C710" s="188"/>
      <c r="D710" s="188"/>
      <c r="E710" s="188"/>
    </row>
    <row r="711" ht="15.75" customHeight="1">
      <c r="C711" s="188"/>
      <c r="D711" s="188"/>
      <c r="E711" s="188"/>
    </row>
    <row r="712" ht="15.75" customHeight="1">
      <c r="C712" s="188"/>
      <c r="D712" s="188"/>
      <c r="E712" s="188"/>
    </row>
    <row r="713" ht="15.75" customHeight="1">
      <c r="C713" s="188"/>
      <c r="D713" s="188"/>
      <c r="E713" s="188"/>
    </row>
    <row r="714" ht="15.75" customHeight="1">
      <c r="C714" s="188"/>
      <c r="D714" s="188"/>
      <c r="E714" s="188"/>
    </row>
    <row r="715" ht="15.75" customHeight="1">
      <c r="C715" s="188"/>
      <c r="D715" s="188"/>
      <c r="E715" s="188"/>
    </row>
    <row r="716" ht="15.75" customHeight="1">
      <c r="C716" s="188"/>
      <c r="D716" s="188"/>
      <c r="E716" s="188"/>
    </row>
    <row r="717" ht="15.75" customHeight="1">
      <c r="C717" s="188"/>
      <c r="D717" s="188"/>
      <c r="E717" s="188"/>
    </row>
    <row r="718" ht="15.75" customHeight="1">
      <c r="C718" s="188"/>
      <c r="D718" s="188"/>
      <c r="E718" s="188"/>
    </row>
    <row r="719" ht="15.75" customHeight="1">
      <c r="C719" s="188"/>
      <c r="D719" s="188"/>
      <c r="E719" s="188"/>
    </row>
    <row r="720" ht="15.75" customHeight="1">
      <c r="C720" s="188"/>
      <c r="D720" s="188"/>
      <c r="E720" s="188"/>
    </row>
    <row r="721" ht="15.75" customHeight="1">
      <c r="C721" s="188"/>
      <c r="D721" s="188"/>
      <c r="E721" s="188"/>
    </row>
    <row r="722" ht="15.75" customHeight="1">
      <c r="C722" s="188"/>
      <c r="D722" s="188"/>
      <c r="E722" s="188"/>
    </row>
    <row r="723" ht="15.75" customHeight="1">
      <c r="C723" s="188"/>
      <c r="D723" s="188"/>
      <c r="E723" s="188"/>
    </row>
    <row r="724" ht="15.75" customHeight="1">
      <c r="C724" s="188"/>
      <c r="D724" s="188"/>
      <c r="E724" s="188"/>
    </row>
    <row r="725" ht="15.75" customHeight="1">
      <c r="C725" s="188"/>
      <c r="D725" s="188"/>
      <c r="E725" s="188"/>
    </row>
    <row r="726" ht="15.75" customHeight="1">
      <c r="C726" s="188"/>
      <c r="D726" s="188"/>
      <c r="E726" s="188"/>
    </row>
    <row r="727" ht="15.75" customHeight="1">
      <c r="C727" s="188"/>
      <c r="D727" s="188"/>
      <c r="E727" s="188"/>
    </row>
    <row r="728" ht="15.75" customHeight="1">
      <c r="C728" s="188"/>
      <c r="D728" s="188"/>
      <c r="E728" s="188"/>
    </row>
    <row r="729" ht="15.75" customHeight="1">
      <c r="C729" s="188"/>
      <c r="D729" s="188"/>
      <c r="E729" s="188"/>
    </row>
    <row r="730" ht="15.75" customHeight="1">
      <c r="C730" s="188"/>
      <c r="D730" s="188"/>
      <c r="E730" s="188"/>
    </row>
    <row r="731" ht="15.75" customHeight="1">
      <c r="C731" s="188"/>
      <c r="D731" s="188"/>
      <c r="E731" s="188"/>
    </row>
    <row r="732" ht="15.75" customHeight="1">
      <c r="C732" s="188"/>
      <c r="D732" s="188"/>
      <c r="E732" s="188"/>
    </row>
    <row r="733" ht="15.75" customHeight="1">
      <c r="C733" s="188"/>
      <c r="D733" s="188"/>
      <c r="E733" s="188"/>
    </row>
    <row r="734" ht="15.75" customHeight="1">
      <c r="C734" s="188"/>
      <c r="D734" s="188"/>
      <c r="E734" s="188"/>
    </row>
    <row r="735" ht="15.75" customHeight="1">
      <c r="C735" s="188"/>
      <c r="D735" s="188"/>
      <c r="E735" s="188"/>
    </row>
    <row r="736" ht="15.75" customHeight="1">
      <c r="C736" s="188"/>
      <c r="D736" s="188"/>
      <c r="E736" s="188"/>
    </row>
    <row r="737" ht="15.75" customHeight="1">
      <c r="C737" s="188"/>
      <c r="D737" s="188"/>
      <c r="E737" s="188"/>
    </row>
    <row r="738" ht="15.75" customHeight="1">
      <c r="C738" s="188"/>
      <c r="D738" s="188"/>
      <c r="E738" s="188"/>
    </row>
    <row r="739" ht="15.75" customHeight="1">
      <c r="C739" s="188"/>
      <c r="D739" s="188"/>
      <c r="E739" s="188"/>
    </row>
    <row r="740" ht="15.75" customHeight="1">
      <c r="C740" s="188"/>
      <c r="D740" s="188"/>
      <c r="E740" s="188"/>
    </row>
    <row r="741" ht="15.75" customHeight="1">
      <c r="C741" s="188"/>
      <c r="D741" s="188"/>
      <c r="E741" s="188"/>
    </row>
    <row r="742" ht="15.75" customHeight="1">
      <c r="C742" s="188"/>
      <c r="D742" s="188"/>
      <c r="E742" s="188"/>
    </row>
    <row r="743" ht="15.75" customHeight="1">
      <c r="C743" s="188"/>
      <c r="D743" s="188"/>
      <c r="E743" s="188"/>
    </row>
    <row r="744" ht="15.75" customHeight="1">
      <c r="C744" s="188"/>
      <c r="D744" s="188"/>
      <c r="E744" s="188"/>
    </row>
    <row r="745" ht="15.75" customHeight="1">
      <c r="C745" s="188"/>
      <c r="D745" s="188"/>
      <c r="E745" s="188"/>
    </row>
    <row r="746" ht="15.75" customHeight="1">
      <c r="C746" s="188"/>
      <c r="D746" s="188"/>
      <c r="E746" s="188"/>
    </row>
    <row r="747" ht="15.75" customHeight="1">
      <c r="C747" s="188"/>
      <c r="D747" s="188"/>
      <c r="E747" s="188"/>
    </row>
    <row r="748" ht="15.75" customHeight="1">
      <c r="C748" s="188"/>
      <c r="D748" s="188"/>
      <c r="E748" s="188"/>
    </row>
    <row r="749" ht="15.75" customHeight="1">
      <c r="C749" s="188"/>
      <c r="D749" s="188"/>
      <c r="E749" s="188"/>
    </row>
    <row r="750" ht="15.75" customHeight="1">
      <c r="C750" s="188"/>
      <c r="D750" s="188"/>
      <c r="E750" s="188"/>
    </row>
    <row r="751" ht="15.75" customHeight="1">
      <c r="C751" s="188"/>
      <c r="D751" s="188"/>
      <c r="E751" s="188"/>
    </row>
    <row r="752" ht="15.75" customHeight="1">
      <c r="C752" s="188"/>
      <c r="D752" s="188"/>
      <c r="E752" s="188"/>
    </row>
    <row r="753" ht="15.75" customHeight="1">
      <c r="C753" s="188"/>
      <c r="D753" s="188"/>
      <c r="E753" s="188"/>
    </row>
    <row r="754" ht="15.75" customHeight="1">
      <c r="C754" s="188"/>
      <c r="D754" s="188"/>
      <c r="E754" s="188"/>
    </row>
    <row r="755" ht="15.75" customHeight="1">
      <c r="C755" s="188"/>
      <c r="D755" s="188"/>
      <c r="E755" s="188"/>
    </row>
    <row r="756" ht="15.75" customHeight="1">
      <c r="C756" s="188"/>
      <c r="D756" s="188"/>
      <c r="E756" s="188"/>
    </row>
    <row r="757" ht="15.75" customHeight="1">
      <c r="C757" s="188"/>
      <c r="D757" s="188"/>
      <c r="E757" s="188"/>
    </row>
    <row r="758" ht="15.75" customHeight="1">
      <c r="C758" s="188"/>
      <c r="D758" s="188"/>
      <c r="E758" s="188"/>
    </row>
    <row r="759" ht="15.75" customHeight="1">
      <c r="C759" s="188"/>
      <c r="D759" s="188"/>
      <c r="E759" s="188"/>
    </row>
    <row r="760" ht="15.75" customHeight="1">
      <c r="C760" s="188"/>
      <c r="D760" s="188"/>
      <c r="E760" s="188"/>
    </row>
    <row r="761" ht="15.75" customHeight="1">
      <c r="C761" s="188"/>
      <c r="D761" s="188"/>
      <c r="E761" s="188"/>
    </row>
    <row r="762" ht="15.75" customHeight="1">
      <c r="C762" s="188"/>
      <c r="D762" s="188"/>
      <c r="E762" s="188"/>
    </row>
    <row r="763" ht="15.75" customHeight="1">
      <c r="C763" s="188"/>
      <c r="D763" s="188"/>
      <c r="E763" s="188"/>
    </row>
    <row r="764" ht="15.75" customHeight="1">
      <c r="C764" s="188"/>
      <c r="D764" s="188"/>
      <c r="E764" s="188"/>
    </row>
    <row r="765" ht="15.75" customHeight="1">
      <c r="C765" s="188"/>
      <c r="D765" s="188"/>
      <c r="E765" s="188"/>
    </row>
    <row r="766" ht="15.75" customHeight="1">
      <c r="C766" s="188"/>
      <c r="D766" s="188"/>
      <c r="E766" s="188"/>
    </row>
    <row r="767" ht="15.75" customHeight="1">
      <c r="C767" s="188"/>
      <c r="D767" s="188"/>
      <c r="E767" s="188"/>
    </row>
    <row r="768" ht="15.75" customHeight="1">
      <c r="C768" s="188"/>
      <c r="D768" s="188"/>
      <c r="E768" s="188"/>
    </row>
    <row r="769" ht="15.75" customHeight="1">
      <c r="C769" s="188"/>
      <c r="D769" s="188"/>
      <c r="E769" s="188"/>
    </row>
    <row r="770" ht="15.75" customHeight="1">
      <c r="C770" s="188"/>
      <c r="D770" s="188"/>
      <c r="E770" s="188"/>
    </row>
    <row r="771" ht="15.75" customHeight="1">
      <c r="C771" s="188"/>
      <c r="D771" s="188"/>
      <c r="E771" s="188"/>
    </row>
    <row r="772" ht="15.75" customHeight="1">
      <c r="C772" s="188"/>
      <c r="D772" s="188"/>
      <c r="E772" s="188"/>
    </row>
    <row r="773" ht="15.75" customHeight="1">
      <c r="C773" s="188"/>
      <c r="D773" s="188"/>
      <c r="E773" s="188"/>
    </row>
    <row r="774" ht="15.75" customHeight="1">
      <c r="C774" s="188"/>
      <c r="D774" s="188"/>
      <c r="E774" s="188"/>
    </row>
    <row r="775" ht="15.75" customHeight="1">
      <c r="C775" s="188"/>
      <c r="D775" s="188"/>
      <c r="E775" s="188"/>
    </row>
    <row r="776" ht="15.75" customHeight="1">
      <c r="C776" s="188"/>
      <c r="D776" s="188"/>
      <c r="E776" s="188"/>
    </row>
    <row r="777" ht="15.75" customHeight="1">
      <c r="C777" s="188"/>
      <c r="D777" s="188"/>
      <c r="E777" s="188"/>
    </row>
    <row r="778" ht="15.75" customHeight="1">
      <c r="C778" s="188"/>
      <c r="D778" s="188"/>
      <c r="E778" s="188"/>
    </row>
    <row r="779" ht="15.75" customHeight="1">
      <c r="C779" s="188"/>
      <c r="D779" s="188"/>
      <c r="E779" s="188"/>
    </row>
    <row r="780" ht="15.75" customHeight="1">
      <c r="C780" s="188"/>
      <c r="D780" s="188"/>
      <c r="E780" s="188"/>
    </row>
    <row r="781" ht="15.75" customHeight="1">
      <c r="C781" s="188"/>
      <c r="D781" s="188"/>
      <c r="E781" s="188"/>
    </row>
    <row r="782" ht="15.75" customHeight="1">
      <c r="C782" s="188"/>
      <c r="D782" s="188"/>
      <c r="E782" s="188"/>
    </row>
    <row r="783" ht="15.75" customHeight="1">
      <c r="C783" s="188"/>
      <c r="D783" s="188"/>
      <c r="E783" s="188"/>
    </row>
    <row r="784" ht="15.75" customHeight="1">
      <c r="C784" s="188"/>
      <c r="D784" s="188"/>
      <c r="E784" s="188"/>
    </row>
    <row r="785" ht="15.75" customHeight="1">
      <c r="C785" s="188"/>
      <c r="D785" s="188"/>
      <c r="E785" s="188"/>
    </row>
    <row r="786" ht="15.75" customHeight="1">
      <c r="C786" s="188"/>
      <c r="D786" s="188"/>
      <c r="E786" s="188"/>
    </row>
    <row r="787" ht="15.75" customHeight="1">
      <c r="C787" s="188"/>
      <c r="D787" s="188"/>
      <c r="E787" s="188"/>
    </row>
    <row r="788" ht="15.75" customHeight="1">
      <c r="C788" s="188"/>
      <c r="D788" s="188"/>
      <c r="E788" s="188"/>
    </row>
    <row r="789" ht="15.75" customHeight="1">
      <c r="C789" s="188"/>
      <c r="D789" s="188"/>
      <c r="E789" s="188"/>
    </row>
    <row r="790" ht="15.75" customHeight="1">
      <c r="C790" s="188"/>
      <c r="D790" s="188"/>
      <c r="E790" s="188"/>
    </row>
    <row r="791" ht="15.75" customHeight="1">
      <c r="C791" s="188"/>
      <c r="D791" s="188"/>
      <c r="E791" s="188"/>
    </row>
    <row r="792" ht="15.75" customHeight="1">
      <c r="C792" s="188"/>
      <c r="D792" s="188"/>
      <c r="E792" s="188"/>
    </row>
    <row r="793" ht="15.75" customHeight="1">
      <c r="C793" s="188"/>
      <c r="D793" s="188"/>
      <c r="E793" s="188"/>
    </row>
    <row r="794" ht="15.75" customHeight="1">
      <c r="C794" s="188"/>
      <c r="D794" s="188"/>
      <c r="E794" s="188"/>
    </row>
    <row r="795" ht="15.75" customHeight="1">
      <c r="C795" s="188"/>
      <c r="D795" s="188"/>
      <c r="E795" s="188"/>
    </row>
    <row r="796" ht="15.75" customHeight="1">
      <c r="C796" s="188"/>
      <c r="D796" s="188"/>
      <c r="E796" s="188"/>
    </row>
    <row r="797" ht="15.75" customHeight="1">
      <c r="C797" s="188"/>
      <c r="D797" s="188"/>
      <c r="E797" s="188"/>
    </row>
    <row r="798" ht="15.75" customHeight="1">
      <c r="C798" s="188"/>
      <c r="D798" s="188"/>
      <c r="E798" s="188"/>
    </row>
    <row r="799" ht="15.75" customHeight="1">
      <c r="C799" s="188"/>
      <c r="D799" s="188"/>
      <c r="E799" s="188"/>
    </row>
    <row r="800" ht="15.75" customHeight="1">
      <c r="C800" s="188"/>
      <c r="D800" s="188"/>
      <c r="E800" s="188"/>
    </row>
    <row r="801" ht="15.75" customHeight="1">
      <c r="C801" s="188"/>
      <c r="D801" s="188"/>
      <c r="E801" s="188"/>
    </row>
    <row r="802" ht="15.75" customHeight="1">
      <c r="C802" s="188"/>
      <c r="D802" s="188"/>
      <c r="E802" s="188"/>
    </row>
    <row r="803" ht="15.75" customHeight="1">
      <c r="C803" s="188"/>
      <c r="D803" s="188"/>
      <c r="E803" s="188"/>
    </row>
    <row r="804" ht="15.75" customHeight="1">
      <c r="C804" s="188"/>
      <c r="D804" s="188"/>
      <c r="E804" s="188"/>
    </row>
    <row r="805" ht="15.75" customHeight="1">
      <c r="C805" s="188"/>
      <c r="D805" s="188"/>
      <c r="E805" s="188"/>
    </row>
    <row r="806" ht="15.75" customHeight="1">
      <c r="C806" s="188"/>
      <c r="D806" s="188"/>
      <c r="E806" s="188"/>
    </row>
    <row r="807" ht="15.75" customHeight="1">
      <c r="C807" s="188"/>
      <c r="D807" s="188"/>
      <c r="E807" s="188"/>
    </row>
    <row r="808" ht="15.75" customHeight="1">
      <c r="C808" s="188"/>
      <c r="D808" s="188"/>
      <c r="E808" s="188"/>
    </row>
    <row r="809" ht="15.75" customHeight="1">
      <c r="C809" s="188"/>
      <c r="D809" s="188"/>
      <c r="E809" s="188"/>
    </row>
    <row r="810" ht="15.75" customHeight="1">
      <c r="C810" s="188"/>
      <c r="D810" s="188"/>
      <c r="E810" s="188"/>
    </row>
    <row r="811" ht="15.75" customHeight="1">
      <c r="C811" s="188"/>
      <c r="D811" s="188"/>
      <c r="E811" s="188"/>
    </row>
    <row r="812" ht="15.75" customHeight="1">
      <c r="C812" s="188"/>
      <c r="D812" s="188"/>
      <c r="E812" s="188"/>
    </row>
    <row r="813" ht="15.75" customHeight="1">
      <c r="C813" s="188"/>
      <c r="D813" s="188"/>
      <c r="E813" s="188"/>
    </row>
    <row r="814" ht="15.75" customHeight="1">
      <c r="C814" s="188"/>
      <c r="D814" s="188"/>
      <c r="E814" s="188"/>
    </row>
    <row r="815" ht="15.75" customHeight="1">
      <c r="C815" s="188"/>
      <c r="D815" s="188"/>
      <c r="E815" s="188"/>
    </row>
    <row r="816" ht="15.75" customHeight="1">
      <c r="C816" s="188"/>
      <c r="D816" s="188"/>
      <c r="E816" s="188"/>
    </row>
    <row r="817" ht="15.75" customHeight="1">
      <c r="C817" s="188"/>
      <c r="D817" s="188"/>
      <c r="E817" s="188"/>
    </row>
    <row r="818" ht="15.75" customHeight="1">
      <c r="C818" s="188"/>
      <c r="D818" s="188"/>
      <c r="E818" s="188"/>
    </row>
    <row r="819" ht="15.75" customHeight="1">
      <c r="C819" s="188"/>
      <c r="D819" s="188"/>
      <c r="E819" s="188"/>
    </row>
    <row r="820" ht="15.75" customHeight="1">
      <c r="C820" s="188"/>
      <c r="D820" s="188"/>
      <c r="E820" s="188"/>
    </row>
    <row r="821" ht="15.75" customHeight="1">
      <c r="C821" s="188"/>
      <c r="D821" s="188"/>
      <c r="E821" s="188"/>
    </row>
    <row r="822" ht="15.75" customHeight="1">
      <c r="C822" s="188"/>
      <c r="D822" s="188"/>
      <c r="E822" s="188"/>
    </row>
    <row r="823" ht="15.75" customHeight="1">
      <c r="C823" s="188"/>
      <c r="D823" s="188"/>
      <c r="E823" s="188"/>
    </row>
    <row r="824" ht="15.75" customHeight="1">
      <c r="C824" s="188"/>
      <c r="D824" s="188"/>
      <c r="E824" s="188"/>
    </row>
    <row r="825" ht="15.75" customHeight="1">
      <c r="C825" s="188"/>
      <c r="D825" s="188"/>
      <c r="E825" s="188"/>
    </row>
    <row r="826" ht="15.75" customHeight="1">
      <c r="C826" s="188"/>
      <c r="D826" s="188"/>
      <c r="E826" s="188"/>
    </row>
    <row r="827" ht="15.75" customHeight="1">
      <c r="C827" s="188"/>
      <c r="D827" s="188"/>
      <c r="E827" s="188"/>
    </row>
    <row r="828" ht="15.75" customHeight="1">
      <c r="C828" s="188"/>
      <c r="D828" s="188"/>
      <c r="E828" s="188"/>
    </row>
    <row r="829" ht="15.75" customHeight="1">
      <c r="C829" s="188"/>
      <c r="D829" s="188"/>
      <c r="E829" s="188"/>
    </row>
    <row r="830" ht="15.75" customHeight="1">
      <c r="C830" s="188"/>
      <c r="D830" s="188"/>
      <c r="E830" s="188"/>
    </row>
    <row r="831" ht="15.75" customHeight="1">
      <c r="C831" s="188"/>
      <c r="D831" s="188"/>
      <c r="E831" s="188"/>
    </row>
    <row r="832" ht="15.75" customHeight="1">
      <c r="C832" s="188"/>
      <c r="D832" s="188"/>
      <c r="E832" s="188"/>
    </row>
    <row r="833" ht="15.75" customHeight="1">
      <c r="C833" s="188"/>
      <c r="D833" s="188"/>
      <c r="E833" s="188"/>
    </row>
    <row r="834" ht="15.75" customHeight="1">
      <c r="C834" s="188"/>
      <c r="D834" s="188"/>
      <c r="E834" s="188"/>
    </row>
    <row r="835" ht="15.75" customHeight="1">
      <c r="C835" s="188"/>
      <c r="D835" s="188"/>
      <c r="E835" s="188"/>
    </row>
    <row r="836" ht="15.75" customHeight="1">
      <c r="C836" s="188"/>
      <c r="D836" s="188"/>
      <c r="E836" s="188"/>
    </row>
    <row r="837" ht="15.75" customHeight="1">
      <c r="C837" s="188"/>
      <c r="D837" s="188"/>
      <c r="E837" s="188"/>
    </row>
    <row r="838" ht="15.75" customHeight="1">
      <c r="C838" s="188"/>
      <c r="D838" s="188"/>
      <c r="E838" s="188"/>
    </row>
    <row r="839" ht="15.75" customHeight="1">
      <c r="C839" s="188"/>
      <c r="D839" s="188"/>
      <c r="E839" s="188"/>
    </row>
    <row r="840" ht="15.75" customHeight="1">
      <c r="C840" s="188"/>
      <c r="D840" s="188"/>
      <c r="E840" s="188"/>
    </row>
    <row r="841" ht="15.75" customHeight="1">
      <c r="C841" s="188"/>
      <c r="D841" s="188"/>
      <c r="E841" s="188"/>
    </row>
    <row r="842" ht="15.75" customHeight="1">
      <c r="C842" s="188"/>
      <c r="D842" s="188"/>
      <c r="E842" s="188"/>
    </row>
    <row r="843" ht="15.75" customHeight="1">
      <c r="C843" s="188"/>
      <c r="D843" s="188"/>
      <c r="E843" s="188"/>
    </row>
    <row r="844" ht="15.75" customHeight="1">
      <c r="C844" s="188"/>
      <c r="D844" s="188"/>
      <c r="E844" s="188"/>
    </row>
    <row r="845" ht="15.75" customHeight="1">
      <c r="C845" s="188"/>
      <c r="D845" s="188"/>
      <c r="E845" s="188"/>
    </row>
    <row r="846" ht="15.75" customHeight="1">
      <c r="C846" s="188"/>
      <c r="D846" s="188"/>
      <c r="E846" s="188"/>
    </row>
    <row r="847" ht="15.75" customHeight="1">
      <c r="C847" s="188"/>
      <c r="D847" s="188"/>
      <c r="E847" s="188"/>
    </row>
    <row r="848" ht="15.75" customHeight="1">
      <c r="C848" s="188"/>
      <c r="D848" s="188"/>
      <c r="E848" s="188"/>
    </row>
    <row r="849" ht="15.75" customHeight="1">
      <c r="C849" s="188"/>
      <c r="D849" s="188"/>
      <c r="E849" s="188"/>
    </row>
    <row r="850" ht="15.75" customHeight="1">
      <c r="C850" s="188"/>
      <c r="D850" s="188"/>
      <c r="E850" s="188"/>
    </row>
    <row r="851" ht="15.75" customHeight="1">
      <c r="C851" s="188"/>
      <c r="D851" s="188"/>
      <c r="E851" s="188"/>
    </row>
    <row r="852" ht="15.75" customHeight="1">
      <c r="C852" s="188"/>
      <c r="D852" s="188"/>
      <c r="E852" s="188"/>
    </row>
    <row r="853" ht="15.75" customHeight="1">
      <c r="C853" s="188"/>
      <c r="D853" s="188"/>
      <c r="E853" s="188"/>
    </row>
    <row r="854" ht="15.75" customHeight="1">
      <c r="C854" s="188"/>
      <c r="D854" s="188"/>
      <c r="E854" s="188"/>
    </row>
    <row r="855" ht="15.75" customHeight="1">
      <c r="C855" s="188"/>
      <c r="D855" s="188"/>
      <c r="E855" s="188"/>
    </row>
    <row r="856" ht="15.75" customHeight="1">
      <c r="C856" s="188"/>
      <c r="D856" s="188"/>
      <c r="E856" s="188"/>
    </row>
    <row r="857" ht="15.75" customHeight="1">
      <c r="C857" s="188"/>
      <c r="D857" s="188"/>
      <c r="E857" s="188"/>
    </row>
    <row r="858" ht="15.75" customHeight="1">
      <c r="C858" s="188"/>
      <c r="D858" s="188"/>
      <c r="E858" s="188"/>
    </row>
    <row r="859" ht="15.75" customHeight="1">
      <c r="C859" s="188"/>
      <c r="D859" s="188"/>
      <c r="E859" s="188"/>
    </row>
    <row r="860" ht="15.75" customHeight="1">
      <c r="C860" s="188"/>
      <c r="D860" s="188"/>
      <c r="E860" s="188"/>
    </row>
    <row r="861" ht="15.75" customHeight="1">
      <c r="C861" s="188"/>
      <c r="D861" s="188"/>
      <c r="E861" s="188"/>
    </row>
    <row r="862" ht="15.75" customHeight="1">
      <c r="C862" s="188"/>
      <c r="D862" s="188"/>
      <c r="E862" s="188"/>
    </row>
    <row r="863" ht="15.75" customHeight="1">
      <c r="C863" s="188"/>
      <c r="D863" s="188"/>
      <c r="E863" s="188"/>
    </row>
    <row r="864" ht="15.75" customHeight="1">
      <c r="C864" s="188"/>
      <c r="D864" s="188"/>
      <c r="E864" s="188"/>
    </row>
    <row r="865" ht="15.75" customHeight="1">
      <c r="C865" s="188"/>
      <c r="D865" s="188"/>
      <c r="E865" s="188"/>
    </row>
    <row r="866" ht="15.75" customHeight="1">
      <c r="C866" s="188"/>
      <c r="D866" s="188"/>
      <c r="E866" s="188"/>
    </row>
    <row r="867" ht="15.75" customHeight="1">
      <c r="C867" s="188"/>
      <c r="D867" s="188"/>
      <c r="E867" s="188"/>
    </row>
    <row r="868" ht="15.75" customHeight="1">
      <c r="C868" s="188"/>
      <c r="D868" s="188"/>
      <c r="E868" s="188"/>
    </row>
    <row r="869" ht="15.75" customHeight="1">
      <c r="C869" s="188"/>
      <c r="D869" s="188"/>
      <c r="E869" s="188"/>
    </row>
    <row r="870" ht="15.75" customHeight="1">
      <c r="C870" s="188"/>
      <c r="D870" s="188"/>
      <c r="E870" s="188"/>
    </row>
    <row r="871" ht="15.75" customHeight="1">
      <c r="C871" s="188"/>
      <c r="D871" s="188"/>
      <c r="E871" s="188"/>
    </row>
    <row r="872" ht="15.75" customHeight="1">
      <c r="C872" s="188"/>
      <c r="D872" s="188"/>
      <c r="E872" s="188"/>
    </row>
    <row r="873" ht="15.75" customHeight="1">
      <c r="C873" s="188"/>
      <c r="D873" s="188"/>
      <c r="E873" s="188"/>
    </row>
    <row r="874" ht="15.75" customHeight="1">
      <c r="C874" s="188"/>
      <c r="D874" s="188"/>
      <c r="E874" s="188"/>
    </row>
    <row r="875" ht="15.75" customHeight="1">
      <c r="C875" s="188"/>
      <c r="D875" s="188"/>
      <c r="E875" s="188"/>
    </row>
    <row r="876" ht="15.75" customHeight="1">
      <c r="C876" s="188"/>
      <c r="D876" s="188"/>
      <c r="E876" s="188"/>
    </row>
    <row r="877" ht="15.75" customHeight="1">
      <c r="C877" s="188"/>
      <c r="D877" s="188"/>
      <c r="E877" s="188"/>
    </row>
    <row r="878" ht="15.75" customHeight="1">
      <c r="C878" s="188"/>
      <c r="D878" s="188"/>
      <c r="E878" s="188"/>
    </row>
    <row r="879" ht="15.75" customHeight="1">
      <c r="C879" s="188"/>
      <c r="D879" s="188"/>
      <c r="E879" s="188"/>
    </row>
    <row r="880" ht="15.75" customHeight="1">
      <c r="C880" s="188"/>
      <c r="D880" s="188"/>
      <c r="E880" s="188"/>
    </row>
    <row r="881" ht="15.75" customHeight="1">
      <c r="C881" s="188"/>
      <c r="D881" s="188"/>
      <c r="E881" s="188"/>
    </row>
    <row r="882" ht="15.75" customHeight="1">
      <c r="C882" s="188"/>
      <c r="D882" s="188"/>
      <c r="E882" s="188"/>
    </row>
    <row r="883" ht="15.75" customHeight="1">
      <c r="C883" s="188"/>
      <c r="D883" s="188"/>
      <c r="E883" s="188"/>
    </row>
    <row r="884" ht="15.75" customHeight="1">
      <c r="C884" s="188"/>
      <c r="D884" s="188"/>
      <c r="E884" s="188"/>
    </row>
    <row r="885" ht="15.75" customHeight="1">
      <c r="C885" s="188"/>
      <c r="D885" s="188"/>
      <c r="E885" s="188"/>
    </row>
    <row r="886" ht="15.75" customHeight="1">
      <c r="C886" s="188"/>
      <c r="D886" s="188"/>
      <c r="E886" s="188"/>
    </row>
    <row r="887" ht="15.75" customHeight="1">
      <c r="C887" s="188"/>
      <c r="D887" s="188"/>
      <c r="E887" s="188"/>
    </row>
    <row r="888" ht="15.75" customHeight="1">
      <c r="C888" s="188"/>
      <c r="D888" s="188"/>
      <c r="E888" s="188"/>
    </row>
    <row r="889" ht="15.75" customHeight="1">
      <c r="C889" s="188"/>
      <c r="D889" s="188"/>
      <c r="E889" s="188"/>
    </row>
    <row r="890" ht="15.75" customHeight="1">
      <c r="C890" s="188"/>
      <c r="D890" s="188"/>
      <c r="E890" s="188"/>
    </row>
    <row r="891" ht="15.75" customHeight="1">
      <c r="C891" s="188"/>
      <c r="D891" s="188"/>
      <c r="E891" s="188"/>
    </row>
    <row r="892" ht="15.75" customHeight="1">
      <c r="C892" s="188"/>
      <c r="D892" s="188"/>
      <c r="E892" s="188"/>
    </row>
    <row r="893" ht="15.75" customHeight="1">
      <c r="C893" s="188"/>
      <c r="D893" s="188"/>
      <c r="E893" s="188"/>
    </row>
    <row r="894" ht="15.75" customHeight="1">
      <c r="C894" s="188"/>
      <c r="D894" s="188"/>
      <c r="E894" s="188"/>
    </row>
    <row r="895" ht="15.75" customHeight="1">
      <c r="C895" s="188"/>
      <c r="D895" s="188"/>
      <c r="E895" s="188"/>
    </row>
    <row r="896" ht="15.75" customHeight="1">
      <c r="C896" s="188"/>
      <c r="D896" s="188"/>
      <c r="E896" s="188"/>
    </row>
    <row r="897" ht="15.75" customHeight="1">
      <c r="C897" s="188"/>
      <c r="D897" s="188"/>
      <c r="E897" s="188"/>
    </row>
    <row r="898" ht="15.75" customHeight="1">
      <c r="C898" s="188"/>
      <c r="D898" s="188"/>
      <c r="E898" s="188"/>
    </row>
    <row r="899" ht="15.75" customHeight="1">
      <c r="C899" s="188"/>
      <c r="D899" s="188"/>
      <c r="E899" s="188"/>
    </row>
    <row r="900" ht="15.75" customHeight="1">
      <c r="C900" s="188"/>
      <c r="D900" s="188"/>
      <c r="E900" s="188"/>
    </row>
    <row r="901" ht="15.75" customHeight="1">
      <c r="C901" s="188"/>
      <c r="D901" s="188"/>
      <c r="E901" s="188"/>
    </row>
    <row r="902" ht="15.75" customHeight="1">
      <c r="C902" s="188"/>
      <c r="D902" s="188"/>
      <c r="E902" s="188"/>
    </row>
    <row r="903" ht="15.75" customHeight="1">
      <c r="C903" s="188"/>
      <c r="D903" s="188"/>
      <c r="E903" s="188"/>
    </row>
    <row r="904" ht="15.75" customHeight="1">
      <c r="C904" s="188"/>
      <c r="D904" s="188"/>
      <c r="E904" s="188"/>
    </row>
    <row r="905" ht="15.75" customHeight="1">
      <c r="C905" s="188"/>
      <c r="D905" s="188"/>
      <c r="E905" s="188"/>
    </row>
    <row r="906" ht="15.75" customHeight="1">
      <c r="C906" s="188"/>
      <c r="D906" s="188"/>
      <c r="E906" s="188"/>
    </row>
    <row r="907" ht="15.75" customHeight="1">
      <c r="C907" s="188"/>
      <c r="D907" s="188"/>
      <c r="E907" s="188"/>
    </row>
    <row r="908" ht="15.75" customHeight="1">
      <c r="C908" s="188"/>
      <c r="D908" s="188"/>
      <c r="E908" s="188"/>
    </row>
    <row r="909" ht="15.75" customHeight="1">
      <c r="C909" s="188"/>
      <c r="D909" s="188"/>
      <c r="E909" s="188"/>
    </row>
    <row r="910" ht="15.75" customHeight="1">
      <c r="C910" s="188"/>
      <c r="D910" s="188"/>
      <c r="E910" s="188"/>
    </row>
    <row r="911" ht="15.75" customHeight="1">
      <c r="C911" s="188"/>
      <c r="D911" s="188"/>
      <c r="E911" s="188"/>
    </row>
    <row r="912" ht="15.75" customHeight="1">
      <c r="C912" s="188"/>
      <c r="D912" s="188"/>
      <c r="E912" s="188"/>
    </row>
    <row r="913" ht="15.75" customHeight="1">
      <c r="C913" s="188"/>
      <c r="D913" s="188"/>
      <c r="E913" s="188"/>
    </row>
    <row r="914" ht="15.75" customHeight="1">
      <c r="C914" s="188"/>
      <c r="D914" s="188"/>
      <c r="E914" s="188"/>
    </row>
    <row r="915" ht="15.75" customHeight="1">
      <c r="C915" s="188"/>
      <c r="D915" s="188"/>
      <c r="E915" s="188"/>
    </row>
    <row r="916" ht="15.75" customHeight="1">
      <c r="C916" s="188"/>
      <c r="D916" s="188"/>
      <c r="E916" s="188"/>
    </row>
    <row r="917" ht="15.75" customHeight="1">
      <c r="C917" s="188"/>
      <c r="D917" s="188"/>
      <c r="E917" s="188"/>
    </row>
    <row r="918" ht="15.75" customHeight="1">
      <c r="C918" s="188"/>
      <c r="D918" s="188"/>
      <c r="E918" s="188"/>
    </row>
    <row r="919" ht="15.75" customHeight="1">
      <c r="C919" s="188"/>
      <c r="D919" s="188"/>
      <c r="E919" s="188"/>
    </row>
    <row r="920" ht="15.75" customHeight="1">
      <c r="C920" s="188"/>
      <c r="D920" s="188"/>
      <c r="E920" s="188"/>
    </row>
    <row r="921" ht="15.75" customHeight="1">
      <c r="C921" s="188"/>
      <c r="D921" s="188"/>
      <c r="E921" s="188"/>
    </row>
    <row r="922" ht="15.75" customHeight="1">
      <c r="C922" s="188"/>
      <c r="D922" s="188"/>
      <c r="E922" s="188"/>
    </row>
    <row r="923" ht="15.75" customHeight="1">
      <c r="C923" s="188"/>
      <c r="D923" s="188"/>
      <c r="E923" s="188"/>
    </row>
    <row r="924" ht="15.75" customHeight="1">
      <c r="C924" s="188"/>
      <c r="D924" s="188"/>
      <c r="E924" s="188"/>
    </row>
    <row r="925" ht="15.75" customHeight="1">
      <c r="C925" s="188"/>
      <c r="D925" s="188"/>
      <c r="E925" s="188"/>
    </row>
    <row r="926" ht="15.75" customHeight="1">
      <c r="C926" s="188"/>
      <c r="D926" s="188"/>
      <c r="E926" s="188"/>
    </row>
    <row r="927" ht="15.75" customHeight="1">
      <c r="C927" s="188"/>
      <c r="D927" s="188"/>
      <c r="E927" s="188"/>
    </row>
    <row r="928" ht="15.75" customHeight="1">
      <c r="C928" s="188"/>
      <c r="D928" s="188"/>
      <c r="E928" s="188"/>
    </row>
    <row r="929" ht="15.75" customHeight="1">
      <c r="C929" s="188"/>
      <c r="D929" s="188"/>
      <c r="E929" s="188"/>
    </row>
    <row r="930" ht="15.75" customHeight="1">
      <c r="C930" s="188"/>
      <c r="D930" s="188"/>
      <c r="E930" s="188"/>
    </row>
    <row r="931" ht="15.75" customHeight="1">
      <c r="C931" s="188"/>
      <c r="D931" s="188"/>
      <c r="E931" s="188"/>
    </row>
    <row r="932" ht="15.75" customHeight="1">
      <c r="C932" s="188"/>
      <c r="D932" s="188"/>
      <c r="E932" s="188"/>
    </row>
    <row r="933" ht="15.75" customHeight="1">
      <c r="C933" s="188"/>
      <c r="D933" s="188"/>
      <c r="E933" s="188"/>
    </row>
    <row r="934" ht="15.75" customHeight="1">
      <c r="C934" s="188"/>
      <c r="D934" s="188"/>
      <c r="E934" s="188"/>
    </row>
    <row r="935" ht="15.75" customHeight="1">
      <c r="C935" s="188"/>
      <c r="D935" s="188"/>
      <c r="E935" s="188"/>
    </row>
    <row r="936" ht="15.75" customHeight="1">
      <c r="C936" s="188"/>
      <c r="D936" s="188"/>
      <c r="E936" s="188"/>
    </row>
    <row r="937" ht="15.75" customHeight="1">
      <c r="C937" s="188"/>
      <c r="D937" s="188"/>
      <c r="E937" s="188"/>
    </row>
    <row r="938" ht="15.75" customHeight="1">
      <c r="C938" s="188"/>
      <c r="D938" s="188"/>
      <c r="E938" s="188"/>
    </row>
    <row r="939" ht="15.75" customHeight="1">
      <c r="C939" s="188"/>
      <c r="D939" s="188"/>
      <c r="E939" s="188"/>
    </row>
    <row r="940" ht="15.75" customHeight="1">
      <c r="C940" s="188"/>
      <c r="D940" s="188"/>
      <c r="E940" s="188"/>
    </row>
    <row r="941" ht="15.75" customHeight="1">
      <c r="C941" s="188"/>
      <c r="D941" s="188"/>
      <c r="E941" s="188"/>
    </row>
    <row r="942" ht="15.75" customHeight="1">
      <c r="C942" s="188"/>
      <c r="D942" s="188"/>
      <c r="E942" s="188"/>
    </row>
    <row r="943" ht="15.75" customHeight="1">
      <c r="C943" s="188"/>
      <c r="D943" s="188"/>
      <c r="E943" s="188"/>
    </row>
    <row r="944" ht="15.75" customHeight="1">
      <c r="C944" s="188"/>
      <c r="D944" s="188"/>
      <c r="E944" s="188"/>
    </row>
    <row r="945" ht="15.75" customHeight="1">
      <c r="C945" s="188"/>
      <c r="D945" s="188"/>
      <c r="E945" s="188"/>
    </row>
    <row r="946" ht="15.75" customHeight="1">
      <c r="C946" s="188"/>
      <c r="D946" s="188"/>
      <c r="E946" s="188"/>
    </row>
    <row r="947" ht="15.75" customHeight="1">
      <c r="C947" s="188"/>
      <c r="D947" s="188"/>
      <c r="E947" s="188"/>
    </row>
    <row r="948" ht="15.75" customHeight="1">
      <c r="C948" s="188"/>
      <c r="D948" s="188"/>
      <c r="E948" s="188"/>
    </row>
    <row r="949" ht="15.75" customHeight="1">
      <c r="C949" s="188"/>
      <c r="D949" s="188"/>
      <c r="E949" s="188"/>
    </row>
    <row r="950" ht="15.75" customHeight="1">
      <c r="C950" s="188"/>
      <c r="D950" s="188"/>
      <c r="E950" s="188"/>
    </row>
    <row r="951" ht="15.75" customHeight="1">
      <c r="C951" s="188"/>
      <c r="D951" s="188"/>
      <c r="E951" s="188"/>
    </row>
    <row r="952" ht="15.75" customHeight="1">
      <c r="C952" s="188"/>
      <c r="D952" s="188"/>
      <c r="E952" s="188"/>
    </row>
    <row r="953" ht="15.75" customHeight="1">
      <c r="C953" s="188"/>
      <c r="D953" s="188"/>
      <c r="E953" s="188"/>
    </row>
    <row r="954" ht="15.75" customHeight="1">
      <c r="C954" s="188"/>
      <c r="D954" s="188"/>
      <c r="E954" s="188"/>
    </row>
    <row r="955" ht="15.75" customHeight="1">
      <c r="C955" s="188"/>
      <c r="D955" s="188"/>
      <c r="E955" s="188"/>
    </row>
    <row r="956" ht="15.75" customHeight="1">
      <c r="C956" s="188"/>
      <c r="D956" s="188"/>
      <c r="E956" s="188"/>
    </row>
    <row r="957" ht="15.75" customHeight="1">
      <c r="C957" s="188"/>
      <c r="D957" s="188"/>
      <c r="E957" s="188"/>
    </row>
    <row r="958" ht="15.75" customHeight="1">
      <c r="C958" s="188"/>
      <c r="D958" s="188"/>
      <c r="E958" s="188"/>
    </row>
    <row r="959" ht="15.75" customHeight="1">
      <c r="C959" s="188"/>
      <c r="D959" s="188"/>
      <c r="E959" s="188"/>
    </row>
    <row r="960" ht="15.75" customHeight="1">
      <c r="C960" s="188"/>
      <c r="D960" s="188"/>
      <c r="E960" s="188"/>
    </row>
    <row r="961" ht="15.75" customHeight="1">
      <c r="C961" s="188"/>
      <c r="D961" s="188"/>
      <c r="E961" s="188"/>
    </row>
    <row r="962" ht="15.75" customHeight="1">
      <c r="C962" s="188"/>
      <c r="D962" s="188"/>
      <c r="E962" s="188"/>
    </row>
    <row r="963" ht="15.75" customHeight="1">
      <c r="C963" s="188"/>
      <c r="D963" s="188"/>
      <c r="E963" s="188"/>
    </row>
    <row r="964" ht="15.75" customHeight="1">
      <c r="C964" s="188"/>
      <c r="D964" s="188"/>
      <c r="E964" s="188"/>
    </row>
    <row r="965" ht="15.75" customHeight="1">
      <c r="C965" s="188"/>
      <c r="D965" s="188"/>
      <c r="E965" s="188"/>
    </row>
    <row r="966" ht="15.75" customHeight="1">
      <c r="C966" s="188"/>
      <c r="D966" s="188"/>
      <c r="E966" s="188"/>
    </row>
    <row r="967" ht="15.75" customHeight="1">
      <c r="C967" s="188"/>
      <c r="D967" s="188"/>
      <c r="E967" s="188"/>
    </row>
    <row r="968" ht="15.75" customHeight="1">
      <c r="C968" s="188"/>
      <c r="D968" s="188"/>
      <c r="E968" s="188"/>
    </row>
    <row r="969" ht="15.75" customHeight="1">
      <c r="C969" s="188"/>
      <c r="D969" s="188"/>
      <c r="E969" s="188"/>
    </row>
    <row r="970" ht="15.75" customHeight="1">
      <c r="C970" s="188"/>
      <c r="D970" s="188"/>
      <c r="E970" s="188"/>
    </row>
    <row r="971" ht="15.75" customHeight="1">
      <c r="C971" s="188"/>
      <c r="D971" s="188"/>
      <c r="E971" s="188"/>
    </row>
    <row r="972" ht="15.75" customHeight="1">
      <c r="C972" s="188"/>
      <c r="D972" s="188"/>
      <c r="E972" s="188"/>
    </row>
    <row r="973" ht="15.75" customHeight="1">
      <c r="C973" s="188"/>
      <c r="D973" s="188"/>
      <c r="E973" s="188"/>
    </row>
    <row r="974" ht="15.75" customHeight="1">
      <c r="C974" s="188"/>
      <c r="D974" s="188"/>
      <c r="E974" s="188"/>
    </row>
    <row r="975" ht="15.75" customHeight="1">
      <c r="C975" s="188"/>
      <c r="D975" s="188"/>
      <c r="E975" s="188"/>
    </row>
    <row r="976" ht="15.75" customHeight="1">
      <c r="C976" s="188"/>
      <c r="D976" s="188"/>
      <c r="E976" s="188"/>
    </row>
    <row r="977" ht="15.75" customHeight="1">
      <c r="C977" s="188"/>
      <c r="D977" s="188"/>
      <c r="E977" s="188"/>
    </row>
    <row r="978" ht="15.75" customHeight="1">
      <c r="C978" s="188"/>
      <c r="D978" s="188"/>
      <c r="E978" s="188"/>
    </row>
    <row r="979" ht="15.75" customHeight="1">
      <c r="C979" s="188"/>
      <c r="D979" s="188"/>
      <c r="E979" s="188"/>
    </row>
    <row r="980" ht="15.75" customHeight="1">
      <c r="C980" s="188"/>
      <c r="D980" s="188"/>
      <c r="E980" s="188"/>
    </row>
    <row r="981" ht="15.75" customHeight="1">
      <c r="C981" s="188"/>
      <c r="D981" s="188"/>
      <c r="E981" s="188"/>
    </row>
    <row r="982" ht="15.75" customHeight="1">
      <c r="C982" s="188"/>
      <c r="D982" s="188"/>
      <c r="E982" s="188"/>
    </row>
    <row r="983" ht="15.75" customHeight="1">
      <c r="C983" s="188"/>
      <c r="D983" s="188"/>
      <c r="E983" s="188"/>
    </row>
    <row r="984" ht="15.75" customHeight="1">
      <c r="C984" s="188"/>
      <c r="D984" s="188"/>
      <c r="E984" s="188"/>
    </row>
    <row r="985" ht="15.75" customHeight="1">
      <c r="C985" s="188"/>
      <c r="D985" s="188"/>
      <c r="E985" s="188"/>
    </row>
    <row r="986" ht="15.75" customHeight="1">
      <c r="C986" s="188"/>
      <c r="D986" s="188"/>
      <c r="E986" s="188"/>
    </row>
    <row r="987" ht="15.75" customHeight="1">
      <c r="C987" s="188"/>
      <c r="D987" s="188"/>
      <c r="E987" s="188"/>
    </row>
    <row r="988" ht="15.75" customHeight="1">
      <c r="C988" s="188"/>
      <c r="D988" s="188"/>
      <c r="E988" s="188"/>
    </row>
    <row r="989" ht="15.75" customHeight="1">
      <c r="C989" s="188"/>
      <c r="D989" s="188"/>
      <c r="E989" s="188"/>
    </row>
    <row r="990" ht="15.75" customHeight="1">
      <c r="C990" s="188"/>
      <c r="D990" s="188"/>
      <c r="E990" s="188"/>
    </row>
    <row r="991" ht="15.75" customHeight="1">
      <c r="C991" s="188"/>
      <c r="D991" s="188"/>
      <c r="E991" s="188"/>
    </row>
    <row r="992" ht="15.75" customHeight="1">
      <c r="C992" s="188"/>
      <c r="D992" s="188"/>
      <c r="E992" s="188"/>
    </row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3:G4 G6:G7 G9:G12 G14:G18 G20:G22 G24:G26 G28:G32">
      <formula1>"Bitti,In progress,Not Started"</formula1>
    </dataValidation>
    <dataValidation type="custom" allowBlank="1" showDropDown="1" sqref="C2:E992">
      <formula1>OR(NOT(ISERROR(DATEVALUE(C2))), AND(ISNUMBER(C2), LEFT(CELL("format", C2))="D"))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7.86"/>
    <col customWidth="1" min="3" max="3" width="24.0"/>
    <col customWidth="1" min="4" max="4" width="22.0"/>
    <col customWidth="1" min="5" max="5" width="38.86"/>
    <col customWidth="1" min="6" max="6" width="14.0"/>
    <col customWidth="1" hidden="1" min="7" max="7" width="14.0"/>
    <col customWidth="1" min="8" max="8" width="12.0"/>
  </cols>
  <sheetData>
    <row r="1" ht="25.5" customHeight="1">
      <c r="A1" s="189" t="s">
        <v>164</v>
      </c>
      <c r="B1" s="2"/>
      <c r="C1" s="2"/>
      <c r="D1" s="2"/>
      <c r="E1" s="2"/>
      <c r="F1" s="2"/>
      <c r="G1" s="2"/>
      <c r="H1" s="3"/>
    </row>
    <row r="2" ht="15.75" customHeight="1">
      <c r="A2" s="190" t="s">
        <v>165</v>
      </c>
      <c r="B2" s="2"/>
      <c r="C2" s="2"/>
      <c r="D2" s="2"/>
      <c r="E2" s="2"/>
      <c r="F2" s="2"/>
      <c r="G2" s="2"/>
      <c r="H2" s="3"/>
    </row>
    <row r="3" ht="19.5" customHeight="1">
      <c r="A3" s="191" t="s">
        <v>166</v>
      </c>
      <c r="B3" s="192" t="s">
        <v>2</v>
      </c>
      <c r="C3" s="192" t="s">
        <v>3</v>
      </c>
      <c r="D3" s="192" t="s">
        <v>77</v>
      </c>
      <c r="E3" s="192" t="s">
        <v>167</v>
      </c>
      <c r="F3" s="192" t="s">
        <v>7</v>
      </c>
      <c r="G3" s="192" t="s">
        <v>83</v>
      </c>
      <c r="H3" s="192" t="s">
        <v>168</v>
      </c>
    </row>
    <row r="4" ht="15.0" customHeight="1">
      <c r="A4" s="193">
        <v>46174.0</v>
      </c>
      <c r="B4" s="194" t="s">
        <v>12</v>
      </c>
      <c r="C4" s="194" t="s">
        <v>13</v>
      </c>
      <c r="D4" s="195" t="s">
        <v>169</v>
      </c>
      <c r="E4" s="195"/>
      <c r="F4" s="194">
        <v>500.0</v>
      </c>
      <c r="G4" s="196">
        <f>IF(D4="Translation", RATE_TRANSLATION,
 IF(D4="Review", RATE_REVIEW,
  IF(D4="Full PE (.po)", RATE_POSTEDIT,
   IF(D4="Light PE (.html)", RATE_POSTEDIT, ""))))</f>
        <v>0.04</v>
      </c>
      <c r="H4" s="197">
        <f t="shared" ref="H4:H7" si="1">IF(AND(F4&lt;&gt;"",G4&lt;&gt;""),F4*G4,"")</f>
        <v>20</v>
      </c>
    </row>
    <row r="5" ht="15.0" customHeight="1">
      <c r="A5" s="198">
        <v>46174.0</v>
      </c>
      <c r="B5" s="199" t="s">
        <v>19</v>
      </c>
      <c r="C5" s="199" t="s">
        <v>20</v>
      </c>
      <c r="D5" s="200" t="s">
        <v>169</v>
      </c>
      <c r="E5" s="200"/>
      <c r="F5" s="199">
        <v>500.0</v>
      </c>
      <c r="G5" s="196">
        <f>IF(D5="Translation", RATE_TRANSLATION,
 IF(D5="Review", RATE_REVIEW,
  IF(D5="Full PE (.po)", RATE_POSTEDIT,
   IF(D5="Light PE (.html)", RATE_POSTEDIT, ""))))</f>
        <v>0.04</v>
      </c>
      <c r="H5" s="197">
        <f t="shared" si="1"/>
        <v>20</v>
      </c>
    </row>
    <row r="6" ht="15.0" customHeight="1">
      <c r="A6" s="193">
        <v>46174.0</v>
      </c>
      <c r="B6" s="194" t="s">
        <v>26</v>
      </c>
      <c r="C6" s="194" t="s">
        <v>170</v>
      </c>
      <c r="D6" s="195" t="s">
        <v>171</v>
      </c>
      <c r="E6" s="195"/>
      <c r="F6" s="194">
        <v>1000.0</v>
      </c>
      <c r="G6" s="196">
        <f>IF(D6="Translation", RATE_TRANSLATION,
 IF(D6="Review", RATE_REVIEW,
  IF(D6="Full PE (.po)", RATE_POSTEDIT,
   IF(D6="Light PE (.html)", RATE_POSTEDIT, ""))))</f>
        <v>0.04</v>
      </c>
      <c r="H6" s="197">
        <f t="shared" si="1"/>
        <v>40</v>
      </c>
    </row>
    <row r="7" ht="15.0" customHeight="1">
      <c r="A7" s="201">
        <v>46174.0</v>
      </c>
      <c r="B7" s="202" t="s">
        <v>33</v>
      </c>
      <c r="C7" s="202" t="s">
        <v>34</v>
      </c>
      <c r="D7" s="202" t="s">
        <v>171</v>
      </c>
      <c r="E7" s="203"/>
      <c r="F7" s="204">
        <v>1000.0</v>
      </c>
      <c r="G7" s="196">
        <f>IF(D7="Translation", RATE_TRANSLATION,
 IF(D7="Review", RATE_REVIEW,
  IF(D7="Full PE (.po)", RATE_POSTEDIT,
   IF(D7="Light PE (.html)", RATE_POSTEDIT, ""))))</f>
        <v>0.04</v>
      </c>
      <c r="H7" s="197">
        <f t="shared" si="1"/>
        <v>40</v>
      </c>
    </row>
    <row r="8" ht="15.75" customHeight="1">
      <c r="A8" s="205" t="s">
        <v>172</v>
      </c>
      <c r="B8" s="8"/>
      <c r="C8" s="8"/>
      <c r="D8" s="8"/>
      <c r="E8" s="9"/>
      <c r="F8" s="206">
        <f>SUM(F4:F7)</f>
        <v>3000</v>
      </c>
      <c r="G8" s="207"/>
      <c r="H8" s="208">
        <f>SUM(H4:H6)</f>
        <v>80</v>
      </c>
    </row>
    <row r="9" ht="15.75" customHeight="1">
      <c r="A9" s="187"/>
      <c r="B9" s="5"/>
      <c r="C9" s="5"/>
      <c r="D9" s="5"/>
      <c r="E9" s="5"/>
      <c r="F9" s="5"/>
      <c r="G9" s="5"/>
      <c r="H9" s="5"/>
    </row>
    <row r="10" ht="15.75" customHeight="1">
      <c r="A10" s="187"/>
      <c r="B10" s="5"/>
      <c r="C10" s="5"/>
      <c r="D10" s="5"/>
      <c r="E10" s="5"/>
      <c r="F10" s="5"/>
      <c r="G10" s="5"/>
      <c r="H10" s="5"/>
    </row>
    <row r="11" ht="15.75" customHeight="1">
      <c r="A11" s="187"/>
      <c r="B11" s="5"/>
      <c r="C11" s="5"/>
      <c r="D11" s="5"/>
      <c r="E11" s="5"/>
      <c r="F11" s="5"/>
      <c r="G11" s="5"/>
      <c r="H11" s="5"/>
    </row>
    <row r="12" ht="15.75" customHeight="1">
      <c r="A12" s="187"/>
      <c r="B12" s="5"/>
      <c r="C12" s="5"/>
      <c r="D12" s="5"/>
      <c r="E12" s="5"/>
      <c r="F12" s="5"/>
      <c r="G12" s="5"/>
      <c r="H12" s="5"/>
    </row>
    <row r="13" ht="15.75" customHeight="1">
      <c r="A13" s="187"/>
      <c r="B13" s="5"/>
      <c r="C13" s="5"/>
      <c r="D13" s="5"/>
      <c r="E13" s="5"/>
      <c r="F13" s="5"/>
      <c r="G13" s="5"/>
      <c r="H13" s="5"/>
    </row>
    <row r="14" ht="15.75" customHeight="1">
      <c r="A14" s="187"/>
      <c r="B14" s="5"/>
      <c r="C14" s="5"/>
      <c r="D14" s="5"/>
      <c r="E14" s="5"/>
      <c r="F14" s="5"/>
      <c r="G14" s="5"/>
      <c r="H14" s="5"/>
    </row>
    <row r="15" ht="15.75" customHeight="1">
      <c r="A15" s="187"/>
      <c r="B15" s="5"/>
      <c r="C15" s="5"/>
      <c r="D15" s="5"/>
      <c r="E15" s="5"/>
      <c r="F15" s="5"/>
      <c r="G15" s="5"/>
      <c r="H15" s="5"/>
    </row>
    <row r="16" ht="15.75" customHeight="1">
      <c r="A16" s="187"/>
      <c r="B16" s="5"/>
      <c r="C16" s="5"/>
      <c r="D16" s="5"/>
      <c r="E16" s="5"/>
      <c r="F16" s="5"/>
      <c r="G16" s="5"/>
      <c r="H16" s="5"/>
    </row>
    <row r="17" ht="15.75" customHeight="1">
      <c r="A17" s="187"/>
      <c r="B17" s="5"/>
      <c r="C17" s="5"/>
      <c r="D17" s="5"/>
      <c r="E17" s="5"/>
      <c r="F17" s="5"/>
      <c r="G17" s="5"/>
      <c r="H17" s="5"/>
    </row>
    <row r="18" ht="15.75" customHeight="1">
      <c r="A18" s="187"/>
      <c r="B18" s="5"/>
      <c r="C18" s="5"/>
      <c r="D18" s="5"/>
      <c r="E18" s="5"/>
      <c r="F18" s="5"/>
      <c r="G18" s="5"/>
      <c r="H18" s="5"/>
    </row>
    <row r="19" ht="15.75" customHeight="1">
      <c r="A19" s="187"/>
      <c r="B19" s="5"/>
      <c r="C19" s="5"/>
      <c r="D19" s="5"/>
      <c r="E19" s="5"/>
      <c r="F19" s="5"/>
      <c r="G19" s="5"/>
      <c r="H19" s="5"/>
    </row>
    <row r="20" ht="15.75" customHeight="1">
      <c r="A20" s="187"/>
      <c r="B20" s="5"/>
      <c r="C20" s="5"/>
      <c r="D20" s="5"/>
      <c r="E20" s="5"/>
      <c r="F20" s="5"/>
      <c r="G20" s="5"/>
      <c r="H20" s="5"/>
    </row>
    <row r="21" ht="15.75" customHeight="1">
      <c r="A21" s="187"/>
      <c r="B21" s="5"/>
      <c r="C21" s="5"/>
      <c r="D21" s="5"/>
      <c r="E21" s="5"/>
      <c r="F21" s="5"/>
      <c r="G21" s="5"/>
      <c r="H21" s="5"/>
    </row>
    <row r="22" ht="15.75" customHeight="1">
      <c r="A22" s="187"/>
      <c r="B22" s="5"/>
      <c r="C22" s="5"/>
      <c r="D22" s="5"/>
      <c r="E22" s="5"/>
      <c r="F22" s="5"/>
      <c r="G22" s="5"/>
      <c r="H22" s="5"/>
    </row>
    <row r="23" ht="15.75" customHeight="1">
      <c r="A23" s="187"/>
      <c r="B23" s="5"/>
      <c r="C23" s="5"/>
      <c r="D23" s="5"/>
      <c r="E23" s="5"/>
      <c r="F23" s="5"/>
      <c r="G23" s="5"/>
      <c r="H23" s="5"/>
    </row>
    <row r="24" ht="15.75" customHeight="1">
      <c r="A24" s="187"/>
      <c r="B24" s="5"/>
      <c r="C24" s="5"/>
      <c r="D24" s="5"/>
      <c r="E24" s="5"/>
      <c r="F24" s="5"/>
      <c r="G24" s="5"/>
      <c r="H24" s="5"/>
    </row>
    <row r="25" ht="15.75" customHeight="1">
      <c r="A25" s="187"/>
      <c r="B25" s="5"/>
      <c r="C25" s="5"/>
      <c r="D25" s="5"/>
      <c r="E25" s="5"/>
      <c r="F25" s="5"/>
      <c r="G25" s="5"/>
      <c r="H25" s="5"/>
    </row>
    <row r="26" ht="15.75" customHeight="1">
      <c r="A26" s="187"/>
      <c r="B26" s="5"/>
      <c r="C26" s="5"/>
      <c r="D26" s="5"/>
      <c r="E26" s="5"/>
      <c r="F26" s="5"/>
      <c r="G26" s="5"/>
      <c r="H26" s="5"/>
    </row>
    <row r="27" ht="15.75" customHeight="1">
      <c r="A27" s="187"/>
      <c r="B27" s="5"/>
      <c r="C27" s="5"/>
      <c r="D27" s="5"/>
      <c r="E27" s="5"/>
      <c r="F27" s="5"/>
      <c r="G27" s="5"/>
      <c r="H27" s="5"/>
    </row>
    <row r="28" ht="15.75" customHeight="1">
      <c r="A28" s="187"/>
      <c r="B28" s="5"/>
      <c r="C28" s="5"/>
      <c r="D28" s="5"/>
      <c r="E28" s="5"/>
      <c r="F28" s="5"/>
      <c r="G28" s="5"/>
      <c r="H28" s="5"/>
    </row>
    <row r="29" ht="15.75" customHeight="1">
      <c r="A29" s="187"/>
      <c r="B29" s="5"/>
      <c r="C29" s="5"/>
      <c r="D29" s="5"/>
      <c r="E29" s="5"/>
      <c r="F29" s="5"/>
      <c r="G29" s="5"/>
      <c r="H29" s="5"/>
    </row>
    <row r="30" ht="15.75" customHeight="1">
      <c r="A30" s="187"/>
      <c r="B30" s="5"/>
      <c r="C30" s="5"/>
      <c r="D30" s="5"/>
      <c r="E30" s="5"/>
      <c r="F30" s="5"/>
      <c r="G30" s="5"/>
      <c r="H30" s="5"/>
    </row>
    <row r="31" ht="15.75" customHeight="1">
      <c r="A31" s="187"/>
      <c r="B31" s="5"/>
      <c r="C31" s="5"/>
      <c r="D31" s="5"/>
      <c r="E31" s="5"/>
      <c r="F31" s="5"/>
      <c r="G31" s="5"/>
      <c r="H31" s="5"/>
    </row>
    <row r="32" ht="15.75" customHeight="1">
      <c r="A32" s="187"/>
      <c r="B32" s="5"/>
      <c r="C32" s="5"/>
      <c r="D32" s="5"/>
      <c r="E32" s="5"/>
      <c r="F32" s="5"/>
      <c r="G32" s="5"/>
      <c r="H32" s="5"/>
    </row>
    <row r="33" ht="15.75" customHeight="1">
      <c r="A33" s="187"/>
      <c r="B33" s="5"/>
      <c r="C33" s="5"/>
      <c r="D33" s="5"/>
      <c r="E33" s="5"/>
      <c r="F33" s="5"/>
      <c r="G33" s="5"/>
      <c r="H33" s="5"/>
    </row>
    <row r="34" ht="15.75" customHeight="1">
      <c r="A34" s="187"/>
      <c r="B34" s="5"/>
      <c r="C34" s="5"/>
      <c r="D34" s="5"/>
      <c r="E34" s="5"/>
      <c r="F34" s="5"/>
      <c r="G34" s="5"/>
      <c r="H34" s="5"/>
    </row>
    <row r="35" ht="15.75" customHeight="1">
      <c r="A35" s="187"/>
      <c r="B35" s="5"/>
      <c r="C35" s="5"/>
      <c r="D35" s="5"/>
      <c r="E35" s="5"/>
      <c r="F35" s="5"/>
      <c r="G35" s="5"/>
      <c r="H35" s="5"/>
    </row>
    <row r="36" ht="15.75" customHeight="1">
      <c r="A36" s="187"/>
      <c r="B36" s="5"/>
      <c r="C36" s="5"/>
      <c r="D36" s="5"/>
      <c r="E36" s="5"/>
      <c r="F36" s="5"/>
      <c r="G36" s="5"/>
      <c r="H36" s="5"/>
    </row>
    <row r="37" ht="15.75" customHeight="1">
      <c r="A37" s="187"/>
      <c r="B37" s="5"/>
      <c r="C37" s="5"/>
      <c r="D37" s="5"/>
      <c r="E37" s="5"/>
      <c r="F37" s="5"/>
      <c r="G37" s="5"/>
      <c r="H37" s="5"/>
    </row>
    <row r="38" ht="15.75" customHeight="1">
      <c r="A38" s="187"/>
      <c r="B38" s="5"/>
      <c r="C38" s="5"/>
      <c r="D38" s="5"/>
      <c r="E38" s="5"/>
      <c r="F38" s="5"/>
      <c r="G38" s="5"/>
      <c r="H38" s="5"/>
    </row>
    <row r="39" ht="15.75" customHeight="1">
      <c r="A39" s="187"/>
      <c r="B39" s="5"/>
      <c r="C39" s="5"/>
      <c r="D39" s="5"/>
      <c r="E39" s="5"/>
      <c r="F39" s="5"/>
      <c r="G39" s="5"/>
      <c r="H39" s="5"/>
    </row>
    <row r="40" ht="15.75" customHeight="1">
      <c r="A40" s="187"/>
      <c r="B40" s="5"/>
      <c r="C40" s="5"/>
      <c r="D40" s="5"/>
      <c r="E40" s="5"/>
      <c r="F40" s="5"/>
      <c r="G40" s="5"/>
      <c r="H40" s="5"/>
    </row>
    <row r="41" ht="15.75" customHeight="1">
      <c r="A41" s="187"/>
      <c r="B41" s="5"/>
      <c r="C41" s="5"/>
      <c r="D41" s="5"/>
      <c r="E41" s="5"/>
      <c r="F41" s="5"/>
      <c r="G41" s="5"/>
      <c r="H41" s="5"/>
    </row>
    <row r="42" ht="15.75" customHeight="1">
      <c r="A42" s="187"/>
      <c r="B42" s="5"/>
      <c r="C42" s="5"/>
      <c r="D42" s="5"/>
      <c r="E42" s="5"/>
      <c r="F42" s="5"/>
      <c r="G42" s="5"/>
      <c r="H42" s="5"/>
    </row>
    <row r="43" ht="15.75" customHeight="1">
      <c r="A43" s="187"/>
      <c r="B43" s="5"/>
      <c r="C43" s="5"/>
      <c r="D43" s="5"/>
      <c r="E43" s="5"/>
      <c r="F43" s="5"/>
      <c r="G43" s="5"/>
      <c r="H43" s="5"/>
    </row>
    <row r="44" ht="15.75" customHeight="1">
      <c r="A44" s="187"/>
      <c r="B44" s="5"/>
      <c r="C44" s="5"/>
      <c r="D44" s="5"/>
      <c r="E44" s="5"/>
      <c r="F44" s="5"/>
      <c r="G44" s="5"/>
      <c r="H44" s="5"/>
    </row>
    <row r="45" ht="15.75" customHeight="1">
      <c r="A45" s="187"/>
      <c r="B45" s="5"/>
      <c r="C45" s="5"/>
      <c r="D45" s="5"/>
      <c r="E45" s="5"/>
      <c r="F45" s="5"/>
      <c r="G45" s="5"/>
      <c r="H45" s="5"/>
    </row>
    <row r="46" ht="15.75" customHeight="1">
      <c r="A46" s="187"/>
      <c r="B46" s="5"/>
      <c r="C46" s="5"/>
      <c r="D46" s="5"/>
      <c r="E46" s="5"/>
      <c r="F46" s="5"/>
      <c r="G46" s="5"/>
      <c r="H46" s="5"/>
    </row>
    <row r="47" ht="15.75" customHeight="1">
      <c r="A47" s="187"/>
      <c r="B47" s="5"/>
      <c r="C47" s="5"/>
      <c r="D47" s="5"/>
      <c r="E47" s="5"/>
      <c r="F47" s="5"/>
      <c r="G47" s="5"/>
      <c r="H47" s="5"/>
    </row>
    <row r="48" ht="15.75" customHeight="1">
      <c r="A48" s="187"/>
      <c r="B48" s="5"/>
      <c r="C48" s="5"/>
      <c r="D48" s="5"/>
      <c r="E48" s="5"/>
      <c r="F48" s="5"/>
      <c r="G48" s="5"/>
      <c r="H48" s="5"/>
    </row>
    <row r="49" ht="15.75" customHeight="1">
      <c r="A49" s="187"/>
      <c r="B49" s="5"/>
      <c r="C49" s="5"/>
      <c r="D49" s="5"/>
      <c r="E49" s="5"/>
      <c r="F49" s="5"/>
      <c r="G49" s="5"/>
      <c r="H49" s="5"/>
    </row>
    <row r="50" ht="15.75" customHeight="1">
      <c r="A50" s="187"/>
      <c r="B50" s="5"/>
      <c r="C50" s="5"/>
      <c r="D50" s="5"/>
      <c r="E50" s="5"/>
      <c r="F50" s="5"/>
      <c r="G50" s="5"/>
      <c r="H50" s="5"/>
    </row>
    <row r="51" ht="15.75" customHeight="1">
      <c r="A51" s="187"/>
      <c r="B51" s="5"/>
      <c r="C51" s="5"/>
      <c r="D51" s="5"/>
      <c r="E51" s="5"/>
      <c r="F51" s="5"/>
      <c r="G51" s="5"/>
      <c r="H51" s="5"/>
    </row>
    <row r="52" ht="15.75" customHeight="1">
      <c r="A52" s="187"/>
      <c r="B52" s="5"/>
      <c r="C52" s="5"/>
      <c r="D52" s="5"/>
      <c r="E52" s="5"/>
      <c r="F52" s="5"/>
      <c r="G52" s="5"/>
      <c r="H52" s="5"/>
    </row>
    <row r="53" ht="15.75" customHeight="1">
      <c r="A53" s="187"/>
      <c r="B53" s="5"/>
      <c r="C53" s="5"/>
      <c r="D53" s="5"/>
      <c r="E53" s="5"/>
      <c r="F53" s="5"/>
      <c r="G53" s="5"/>
      <c r="H53" s="5"/>
    </row>
    <row r="54" ht="15.75" customHeight="1">
      <c r="A54" s="187"/>
      <c r="B54" s="5"/>
      <c r="C54" s="5"/>
      <c r="D54" s="5"/>
      <c r="E54" s="5"/>
      <c r="F54" s="5"/>
      <c r="G54" s="5"/>
      <c r="H54" s="5"/>
    </row>
    <row r="55" ht="15.75" customHeight="1">
      <c r="A55" s="187"/>
      <c r="B55" s="5"/>
      <c r="C55" s="5"/>
      <c r="D55" s="5"/>
      <c r="E55" s="5"/>
      <c r="F55" s="5"/>
      <c r="G55" s="5"/>
      <c r="H55" s="5"/>
    </row>
    <row r="56" ht="15.75" customHeight="1">
      <c r="A56" s="187"/>
      <c r="B56" s="5"/>
      <c r="C56" s="5"/>
      <c r="D56" s="5"/>
      <c r="E56" s="5"/>
      <c r="F56" s="5"/>
      <c r="G56" s="5"/>
      <c r="H56" s="5"/>
    </row>
    <row r="57" ht="15.75" customHeight="1">
      <c r="A57" s="187"/>
      <c r="B57" s="5"/>
      <c r="C57" s="5"/>
      <c r="D57" s="5"/>
      <c r="E57" s="5"/>
      <c r="F57" s="5"/>
      <c r="G57" s="5"/>
      <c r="H57" s="5"/>
    </row>
    <row r="58" ht="15.75" customHeight="1">
      <c r="A58" s="187"/>
      <c r="B58" s="5"/>
      <c r="C58" s="5"/>
      <c r="D58" s="5"/>
      <c r="E58" s="5"/>
      <c r="F58" s="5"/>
      <c r="G58" s="5"/>
      <c r="H58" s="5"/>
    </row>
    <row r="59" ht="15.75" customHeight="1">
      <c r="A59" s="187"/>
      <c r="B59" s="5"/>
      <c r="C59" s="5"/>
      <c r="D59" s="5"/>
      <c r="E59" s="5"/>
      <c r="F59" s="5"/>
      <c r="G59" s="5"/>
      <c r="H59" s="5"/>
    </row>
    <row r="60" ht="15.75" customHeight="1">
      <c r="A60" s="187"/>
      <c r="B60" s="5"/>
      <c r="C60" s="5"/>
      <c r="D60" s="5"/>
      <c r="E60" s="5"/>
      <c r="F60" s="5"/>
      <c r="G60" s="5"/>
      <c r="H60" s="5"/>
    </row>
    <row r="61" ht="15.75" customHeight="1">
      <c r="A61" s="187"/>
      <c r="B61" s="5"/>
      <c r="C61" s="5"/>
      <c r="D61" s="5"/>
      <c r="E61" s="5"/>
      <c r="F61" s="5"/>
      <c r="G61" s="5"/>
      <c r="H61" s="5"/>
    </row>
    <row r="62" ht="15.75" customHeight="1">
      <c r="A62" s="187"/>
      <c r="B62" s="5"/>
      <c r="C62" s="5"/>
      <c r="D62" s="5"/>
      <c r="E62" s="5"/>
      <c r="F62" s="5"/>
      <c r="G62" s="5"/>
      <c r="H62" s="5"/>
    </row>
    <row r="63" ht="15.75" customHeight="1">
      <c r="A63" s="187"/>
      <c r="B63" s="5"/>
      <c r="C63" s="5"/>
      <c r="D63" s="5"/>
      <c r="E63" s="5"/>
      <c r="F63" s="5"/>
      <c r="G63" s="5"/>
      <c r="H63" s="5"/>
    </row>
    <row r="64" ht="15.75" customHeight="1">
      <c r="A64" s="187"/>
      <c r="B64" s="5"/>
      <c r="C64" s="5"/>
      <c r="D64" s="5"/>
      <c r="E64" s="5"/>
      <c r="F64" s="5"/>
      <c r="G64" s="5"/>
      <c r="H64" s="5"/>
    </row>
    <row r="65" ht="15.75" customHeight="1">
      <c r="A65" s="187"/>
      <c r="B65" s="5"/>
      <c r="C65" s="5"/>
      <c r="D65" s="5"/>
      <c r="E65" s="5"/>
      <c r="F65" s="5"/>
      <c r="G65" s="5"/>
      <c r="H65" s="5"/>
    </row>
    <row r="66" ht="15.75" customHeight="1">
      <c r="A66" s="187"/>
      <c r="B66" s="5"/>
      <c r="C66" s="5"/>
      <c r="D66" s="5"/>
      <c r="E66" s="5"/>
      <c r="F66" s="5"/>
      <c r="G66" s="5"/>
      <c r="H66" s="5"/>
    </row>
    <row r="67" ht="15.75" customHeight="1">
      <c r="A67" s="187"/>
      <c r="B67" s="5"/>
      <c r="C67" s="5"/>
      <c r="D67" s="5"/>
      <c r="E67" s="5"/>
      <c r="F67" s="5"/>
      <c r="G67" s="5"/>
      <c r="H67" s="5"/>
    </row>
    <row r="68" ht="15.75" customHeight="1">
      <c r="A68" s="187"/>
      <c r="B68" s="5"/>
      <c r="C68" s="5"/>
      <c r="D68" s="5"/>
      <c r="E68" s="5"/>
      <c r="F68" s="5"/>
      <c r="G68" s="5"/>
      <c r="H68" s="5"/>
    </row>
    <row r="69" ht="15.75" customHeight="1">
      <c r="A69" s="187"/>
      <c r="B69" s="5"/>
      <c r="C69" s="5"/>
      <c r="D69" s="5"/>
      <c r="E69" s="5"/>
      <c r="F69" s="5"/>
      <c r="G69" s="5"/>
      <c r="H69" s="5"/>
    </row>
    <row r="70" ht="15.75" customHeight="1">
      <c r="A70" s="187"/>
      <c r="B70" s="5"/>
      <c r="C70" s="5"/>
      <c r="D70" s="5"/>
      <c r="E70" s="5"/>
      <c r="F70" s="5"/>
      <c r="G70" s="5"/>
      <c r="H70" s="5"/>
    </row>
    <row r="71" ht="15.75" customHeight="1">
      <c r="A71" s="187"/>
      <c r="B71" s="5"/>
      <c r="C71" s="5"/>
      <c r="D71" s="5"/>
      <c r="E71" s="5"/>
      <c r="F71" s="5"/>
      <c r="G71" s="5"/>
      <c r="H71" s="5"/>
    </row>
    <row r="72" ht="15.75" customHeight="1">
      <c r="A72" s="187"/>
      <c r="B72" s="5"/>
      <c r="C72" s="5"/>
      <c r="D72" s="5"/>
      <c r="E72" s="5"/>
      <c r="F72" s="5"/>
      <c r="G72" s="5"/>
      <c r="H72" s="5"/>
    </row>
    <row r="73" ht="15.75" customHeight="1">
      <c r="A73" s="187"/>
      <c r="B73" s="5"/>
      <c r="C73" s="5"/>
      <c r="D73" s="5"/>
      <c r="E73" s="5"/>
      <c r="F73" s="5"/>
      <c r="G73" s="5"/>
      <c r="H73" s="5"/>
    </row>
    <row r="74" ht="15.75" customHeight="1">
      <c r="A74" s="187"/>
      <c r="B74" s="5"/>
      <c r="C74" s="5"/>
      <c r="D74" s="5"/>
      <c r="E74" s="5"/>
      <c r="F74" s="5"/>
      <c r="G74" s="5"/>
      <c r="H74" s="5"/>
    </row>
    <row r="75" ht="15.75" customHeight="1">
      <c r="A75" s="187"/>
      <c r="B75" s="5"/>
      <c r="C75" s="5"/>
      <c r="D75" s="5"/>
      <c r="E75" s="5"/>
      <c r="F75" s="5"/>
      <c r="G75" s="5"/>
      <c r="H75" s="5"/>
    </row>
    <row r="76" ht="15.75" customHeight="1">
      <c r="A76" s="187"/>
      <c r="B76" s="5"/>
      <c r="C76" s="5"/>
      <c r="D76" s="5"/>
      <c r="E76" s="5"/>
      <c r="F76" s="5"/>
      <c r="G76" s="5"/>
      <c r="H76" s="5"/>
    </row>
    <row r="77" ht="15.75" customHeight="1">
      <c r="A77" s="187"/>
      <c r="B77" s="5"/>
      <c r="C77" s="5"/>
      <c r="D77" s="5"/>
      <c r="E77" s="5"/>
      <c r="F77" s="5"/>
      <c r="G77" s="5"/>
      <c r="H77" s="5"/>
    </row>
    <row r="78" ht="15.75" customHeight="1">
      <c r="A78" s="187"/>
      <c r="B78" s="5"/>
      <c r="C78" s="5"/>
      <c r="D78" s="5"/>
      <c r="E78" s="5"/>
      <c r="F78" s="5"/>
      <c r="G78" s="5"/>
      <c r="H78" s="5"/>
    </row>
    <row r="79" ht="15.75" customHeight="1">
      <c r="A79" s="187"/>
      <c r="B79" s="5"/>
      <c r="C79" s="5"/>
      <c r="D79" s="5"/>
      <c r="E79" s="5"/>
      <c r="F79" s="5"/>
      <c r="G79" s="5"/>
      <c r="H79" s="5"/>
    </row>
    <row r="80" ht="15.75" customHeight="1">
      <c r="A80" s="187"/>
      <c r="B80" s="5"/>
      <c r="C80" s="5"/>
      <c r="D80" s="5"/>
      <c r="E80" s="5"/>
      <c r="F80" s="5"/>
      <c r="G80" s="5"/>
      <c r="H80" s="5"/>
    </row>
    <row r="81" ht="15.75" customHeight="1">
      <c r="A81" s="187"/>
      <c r="B81" s="5"/>
      <c r="C81" s="5"/>
      <c r="D81" s="5"/>
      <c r="E81" s="5"/>
      <c r="F81" s="5"/>
      <c r="G81" s="5"/>
      <c r="H81" s="5"/>
    </row>
    <row r="82" ht="15.75" customHeight="1">
      <c r="A82" s="187"/>
      <c r="B82" s="5"/>
      <c r="C82" s="5"/>
      <c r="D82" s="5"/>
      <c r="E82" s="5"/>
      <c r="F82" s="5"/>
      <c r="G82" s="5"/>
      <c r="H82" s="5"/>
    </row>
    <row r="83" ht="15.75" customHeight="1">
      <c r="A83" s="187"/>
      <c r="B83" s="5"/>
      <c r="C83" s="5"/>
      <c r="D83" s="5"/>
      <c r="E83" s="5"/>
      <c r="F83" s="5"/>
      <c r="G83" s="5"/>
      <c r="H83" s="5"/>
    </row>
    <row r="84" ht="15.75" customHeight="1">
      <c r="A84" s="187"/>
      <c r="B84" s="5"/>
      <c r="C84" s="5"/>
      <c r="D84" s="5"/>
      <c r="E84" s="5"/>
      <c r="F84" s="5"/>
      <c r="G84" s="5"/>
      <c r="H84" s="5"/>
    </row>
    <row r="85" ht="15.75" customHeight="1">
      <c r="A85" s="187"/>
      <c r="B85" s="5"/>
      <c r="C85" s="5"/>
      <c r="D85" s="5"/>
      <c r="E85" s="5"/>
      <c r="F85" s="5"/>
      <c r="G85" s="5"/>
      <c r="H85" s="5"/>
    </row>
    <row r="86" ht="15.75" customHeight="1">
      <c r="A86" s="187"/>
      <c r="B86" s="5"/>
      <c r="C86" s="5"/>
      <c r="D86" s="5"/>
      <c r="E86" s="5"/>
      <c r="F86" s="5"/>
      <c r="G86" s="5"/>
      <c r="H86" s="5"/>
    </row>
    <row r="87" ht="15.75" customHeight="1">
      <c r="A87" s="187"/>
      <c r="B87" s="5"/>
      <c r="C87" s="5"/>
      <c r="D87" s="5"/>
      <c r="E87" s="5"/>
      <c r="F87" s="5"/>
      <c r="G87" s="5"/>
      <c r="H87" s="5"/>
    </row>
    <row r="88" ht="15.75" customHeight="1">
      <c r="A88" s="187"/>
      <c r="B88" s="5"/>
      <c r="C88" s="5"/>
      <c r="D88" s="5"/>
      <c r="E88" s="5"/>
      <c r="F88" s="5"/>
      <c r="G88" s="5"/>
      <c r="H88" s="5"/>
    </row>
    <row r="89" ht="15.75" customHeight="1">
      <c r="A89" s="187"/>
      <c r="B89" s="5"/>
      <c r="C89" s="5"/>
      <c r="D89" s="5"/>
      <c r="E89" s="5"/>
      <c r="F89" s="5"/>
      <c r="G89" s="5"/>
      <c r="H89" s="5"/>
    </row>
    <row r="90" ht="15.75" customHeight="1">
      <c r="A90" s="187"/>
      <c r="B90" s="5"/>
      <c r="C90" s="5"/>
      <c r="D90" s="5"/>
      <c r="E90" s="5"/>
      <c r="F90" s="5"/>
      <c r="G90" s="5"/>
      <c r="H90" s="5"/>
    </row>
    <row r="91" ht="15.75" customHeight="1">
      <c r="A91" s="187"/>
      <c r="B91" s="5"/>
      <c r="C91" s="5"/>
      <c r="D91" s="5"/>
      <c r="E91" s="5"/>
      <c r="F91" s="5"/>
      <c r="G91" s="5"/>
      <c r="H91" s="5"/>
    </row>
    <row r="92" ht="15.75" customHeight="1">
      <c r="A92" s="187"/>
      <c r="B92" s="5"/>
      <c r="C92" s="5"/>
      <c r="D92" s="5"/>
      <c r="E92" s="5"/>
      <c r="F92" s="5"/>
      <c r="G92" s="5"/>
      <c r="H92" s="5"/>
    </row>
    <row r="93" ht="15.75" customHeight="1">
      <c r="A93" s="187"/>
      <c r="B93" s="5"/>
      <c r="C93" s="5"/>
      <c r="D93" s="5"/>
      <c r="E93" s="5"/>
      <c r="F93" s="5"/>
      <c r="G93" s="5"/>
      <c r="H93" s="5"/>
    </row>
    <row r="94" ht="15.75" customHeight="1">
      <c r="A94" s="187"/>
      <c r="B94" s="5"/>
      <c r="C94" s="5"/>
      <c r="D94" s="5"/>
      <c r="E94" s="5"/>
      <c r="F94" s="5"/>
      <c r="G94" s="5"/>
      <c r="H94" s="5"/>
    </row>
    <row r="95" ht="15.75" customHeight="1">
      <c r="A95" s="187"/>
      <c r="B95" s="5"/>
      <c r="C95" s="5"/>
      <c r="D95" s="5"/>
      <c r="E95" s="5"/>
      <c r="F95" s="5"/>
      <c r="G95" s="5"/>
      <c r="H95" s="5"/>
    </row>
    <row r="96" ht="15.75" customHeight="1">
      <c r="A96" s="187"/>
      <c r="B96" s="5"/>
      <c r="C96" s="5"/>
      <c r="D96" s="5"/>
      <c r="E96" s="5"/>
      <c r="F96" s="5"/>
      <c r="G96" s="5"/>
      <c r="H96" s="5"/>
    </row>
    <row r="97" ht="15.75" customHeight="1">
      <c r="A97" s="187"/>
      <c r="B97" s="5"/>
      <c r="C97" s="5"/>
      <c r="D97" s="5"/>
      <c r="E97" s="5"/>
      <c r="F97" s="5"/>
      <c r="G97" s="5"/>
      <c r="H97" s="5"/>
    </row>
    <row r="98" ht="15.75" customHeight="1">
      <c r="A98" s="187"/>
      <c r="B98" s="5"/>
      <c r="C98" s="5"/>
      <c r="D98" s="5"/>
      <c r="E98" s="5"/>
      <c r="F98" s="5"/>
      <c r="G98" s="5"/>
      <c r="H98" s="5"/>
    </row>
    <row r="99" ht="15.75" customHeight="1">
      <c r="A99" s="187"/>
      <c r="B99" s="5"/>
      <c r="C99" s="5"/>
      <c r="D99" s="5"/>
      <c r="E99" s="5"/>
      <c r="F99" s="5"/>
      <c r="G99" s="5"/>
      <c r="H99" s="5"/>
    </row>
    <row r="100" ht="15.75" customHeight="1">
      <c r="A100" s="187"/>
      <c r="B100" s="5"/>
      <c r="C100" s="5"/>
      <c r="D100" s="5"/>
      <c r="E100" s="5"/>
      <c r="F100" s="5"/>
      <c r="G100" s="5"/>
      <c r="H100" s="5"/>
    </row>
    <row r="101" ht="15.75" customHeight="1">
      <c r="A101" s="187"/>
      <c r="B101" s="5"/>
      <c r="C101" s="5"/>
      <c r="D101" s="5"/>
      <c r="E101" s="5"/>
      <c r="F101" s="5"/>
      <c r="G101" s="5"/>
      <c r="H101" s="5"/>
    </row>
    <row r="102" ht="15.75" customHeight="1">
      <c r="A102" s="187"/>
      <c r="B102" s="5"/>
      <c r="C102" s="5"/>
      <c r="D102" s="5"/>
      <c r="E102" s="5"/>
      <c r="F102" s="5"/>
      <c r="G102" s="5"/>
      <c r="H102" s="5"/>
    </row>
    <row r="103" ht="15.75" customHeight="1">
      <c r="A103" s="187"/>
      <c r="B103" s="5"/>
      <c r="C103" s="5"/>
      <c r="D103" s="5"/>
      <c r="E103" s="5"/>
      <c r="F103" s="5"/>
      <c r="G103" s="5"/>
      <c r="H103" s="5"/>
    </row>
    <row r="104" ht="15.75" customHeight="1">
      <c r="A104" s="187"/>
      <c r="B104" s="5"/>
      <c r="C104" s="5"/>
      <c r="D104" s="5"/>
      <c r="E104" s="5"/>
      <c r="F104" s="5"/>
      <c r="G104" s="5"/>
      <c r="H104" s="5"/>
    </row>
    <row r="105" ht="15.75" customHeight="1">
      <c r="A105" s="187"/>
      <c r="B105" s="5"/>
      <c r="C105" s="5"/>
      <c r="D105" s="5"/>
      <c r="E105" s="5"/>
      <c r="F105" s="5"/>
      <c r="G105" s="5"/>
      <c r="H105" s="5"/>
    </row>
    <row r="106" ht="15.75" customHeight="1">
      <c r="A106" s="187"/>
      <c r="B106" s="5"/>
      <c r="C106" s="5"/>
      <c r="D106" s="5"/>
      <c r="E106" s="5"/>
      <c r="F106" s="5"/>
      <c r="G106" s="5"/>
      <c r="H106" s="5"/>
    </row>
    <row r="107" ht="15.75" customHeight="1">
      <c r="A107" s="187"/>
      <c r="B107" s="5"/>
      <c r="C107" s="5"/>
      <c r="D107" s="5"/>
      <c r="E107" s="5"/>
      <c r="F107" s="5"/>
      <c r="G107" s="5"/>
      <c r="H107" s="5"/>
    </row>
    <row r="108" ht="15.75" customHeight="1">
      <c r="A108" s="187"/>
      <c r="B108" s="5"/>
      <c r="C108" s="5"/>
      <c r="D108" s="5"/>
      <c r="E108" s="5"/>
      <c r="F108" s="5"/>
      <c r="G108" s="5"/>
      <c r="H108" s="5"/>
    </row>
    <row r="109" ht="15.75" customHeight="1">
      <c r="A109" s="187"/>
      <c r="B109" s="5"/>
      <c r="C109" s="5"/>
      <c r="D109" s="5"/>
      <c r="E109" s="5"/>
      <c r="F109" s="5"/>
      <c r="G109" s="5"/>
      <c r="H109" s="5"/>
    </row>
    <row r="110" ht="15.75" customHeight="1">
      <c r="A110" s="187"/>
      <c r="B110" s="5"/>
      <c r="C110" s="5"/>
      <c r="D110" s="5"/>
      <c r="E110" s="5"/>
      <c r="F110" s="5"/>
      <c r="G110" s="5"/>
      <c r="H110" s="5"/>
    </row>
    <row r="111" ht="15.75" customHeight="1">
      <c r="A111" s="187"/>
      <c r="B111" s="5"/>
      <c r="C111" s="5"/>
      <c r="D111" s="5"/>
      <c r="E111" s="5"/>
      <c r="F111" s="5"/>
      <c r="G111" s="5"/>
      <c r="H111" s="5"/>
    </row>
    <row r="112" ht="15.75" customHeight="1">
      <c r="A112" s="187"/>
      <c r="B112" s="5"/>
      <c r="C112" s="5"/>
      <c r="D112" s="5"/>
      <c r="E112" s="5"/>
      <c r="F112" s="5"/>
      <c r="G112" s="5"/>
      <c r="H112" s="5"/>
    </row>
    <row r="113" ht="15.75" customHeight="1">
      <c r="A113" s="187"/>
      <c r="B113" s="5"/>
      <c r="C113" s="5"/>
      <c r="D113" s="5"/>
      <c r="E113" s="5"/>
      <c r="F113" s="5"/>
      <c r="G113" s="5"/>
      <c r="H113" s="5"/>
    </row>
    <row r="114" ht="15.75" customHeight="1">
      <c r="A114" s="187"/>
      <c r="B114" s="5"/>
      <c r="C114" s="5"/>
      <c r="D114" s="5"/>
      <c r="E114" s="5"/>
      <c r="F114" s="5"/>
      <c r="G114" s="5"/>
      <c r="H114" s="5"/>
    </row>
    <row r="115" ht="15.75" customHeight="1">
      <c r="A115" s="187"/>
      <c r="B115" s="5"/>
      <c r="C115" s="5"/>
      <c r="D115" s="5"/>
      <c r="E115" s="5"/>
      <c r="F115" s="5"/>
      <c r="G115" s="5"/>
      <c r="H115" s="5"/>
    </row>
    <row r="116" ht="15.75" customHeight="1">
      <c r="A116" s="187"/>
      <c r="B116" s="5"/>
      <c r="C116" s="5"/>
      <c r="D116" s="5"/>
      <c r="E116" s="5"/>
      <c r="F116" s="5"/>
      <c r="G116" s="5"/>
      <c r="H116" s="5"/>
    </row>
    <row r="117" ht="15.75" customHeight="1">
      <c r="A117" s="187"/>
      <c r="B117" s="5"/>
      <c r="C117" s="5"/>
      <c r="D117" s="5"/>
      <c r="E117" s="5"/>
      <c r="F117" s="5"/>
      <c r="G117" s="5"/>
      <c r="H117" s="5"/>
    </row>
    <row r="118" ht="15.75" customHeight="1">
      <c r="A118" s="187"/>
      <c r="B118" s="5"/>
      <c r="C118" s="5"/>
      <c r="D118" s="5"/>
      <c r="E118" s="5"/>
      <c r="F118" s="5"/>
      <c r="G118" s="5"/>
      <c r="H118" s="5"/>
    </row>
    <row r="119" ht="15.75" customHeight="1">
      <c r="A119" s="187"/>
      <c r="B119" s="5"/>
      <c r="C119" s="5"/>
      <c r="D119" s="5"/>
      <c r="E119" s="5"/>
      <c r="F119" s="5"/>
      <c r="G119" s="5"/>
      <c r="H119" s="5"/>
    </row>
    <row r="120" ht="15.75" customHeight="1">
      <c r="A120" s="187"/>
      <c r="B120" s="5"/>
      <c r="C120" s="5"/>
      <c r="D120" s="5"/>
      <c r="E120" s="5"/>
      <c r="F120" s="5"/>
      <c r="G120" s="5"/>
      <c r="H120" s="5"/>
    </row>
    <row r="121" ht="15.75" customHeight="1">
      <c r="A121" s="187"/>
      <c r="B121" s="5"/>
      <c r="C121" s="5"/>
      <c r="D121" s="5"/>
      <c r="E121" s="5"/>
      <c r="F121" s="5"/>
      <c r="G121" s="5"/>
      <c r="H121" s="5"/>
    </row>
    <row r="122" ht="15.75" customHeight="1">
      <c r="A122" s="187"/>
      <c r="B122" s="5"/>
      <c r="C122" s="5"/>
      <c r="D122" s="5"/>
      <c r="E122" s="5"/>
      <c r="F122" s="5"/>
      <c r="G122" s="5"/>
      <c r="H122" s="5"/>
    </row>
    <row r="123" ht="15.75" customHeight="1">
      <c r="A123" s="187"/>
      <c r="B123" s="5"/>
      <c r="C123" s="5"/>
      <c r="D123" s="5"/>
      <c r="E123" s="5"/>
      <c r="F123" s="5"/>
      <c r="G123" s="5"/>
      <c r="H123" s="5"/>
    </row>
    <row r="124" ht="15.75" customHeight="1">
      <c r="A124" s="187"/>
      <c r="B124" s="5"/>
      <c r="C124" s="5"/>
      <c r="D124" s="5"/>
      <c r="E124" s="5"/>
      <c r="F124" s="5"/>
      <c r="G124" s="5"/>
      <c r="H124" s="5"/>
    </row>
    <row r="125" ht="15.75" customHeight="1">
      <c r="A125" s="187"/>
      <c r="B125" s="5"/>
      <c r="C125" s="5"/>
      <c r="D125" s="5"/>
      <c r="E125" s="5"/>
      <c r="F125" s="5"/>
      <c r="G125" s="5"/>
      <c r="H125" s="5"/>
    </row>
    <row r="126" ht="15.75" customHeight="1">
      <c r="A126" s="187"/>
      <c r="B126" s="5"/>
      <c r="C126" s="5"/>
      <c r="D126" s="5"/>
      <c r="E126" s="5"/>
      <c r="F126" s="5"/>
      <c r="G126" s="5"/>
      <c r="H126" s="5"/>
    </row>
    <row r="127" ht="15.75" customHeight="1">
      <c r="A127" s="187"/>
      <c r="B127" s="5"/>
      <c r="C127" s="5"/>
      <c r="D127" s="5"/>
      <c r="E127" s="5"/>
      <c r="F127" s="5"/>
      <c r="G127" s="5"/>
      <c r="H127" s="5"/>
    </row>
    <row r="128" ht="15.75" customHeight="1">
      <c r="A128" s="187"/>
      <c r="B128" s="5"/>
      <c r="C128" s="5"/>
      <c r="D128" s="5"/>
      <c r="E128" s="5"/>
      <c r="F128" s="5"/>
      <c r="G128" s="5"/>
      <c r="H128" s="5"/>
    </row>
    <row r="129" ht="15.75" customHeight="1">
      <c r="A129" s="187"/>
      <c r="B129" s="5"/>
      <c r="C129" s="5"/>
      <c r="D129" s="5"/>
      <c r="E129" s="5"/>
      <c r="F129" s="5"/>
      <c r="G129" s="5"/>
      <c r="H129" s="5"/>
    </row>
    <row r="130" ht="15.75" customHeight="1">
      <c r="A130" s="187"/>
      <c r="B130" s="5"/>
      <c r="C130" s="5"/>
      <c r="D130" s="5"/>
      <c r="E130" s="5"/>
      <c r="F130" s="5"/>
      <c r="G130" s="5"/>
      <c r="H130" s="5"/>
    </row>
    <row r="131" ht="15.75" customHeight="1">
      <c r="A131" s="187"/>
      <c r="B131" s="5"/>
      <c r="C131" s="5"/>
      <c r="D131" s="5"/>
      <c r="E131" s="5"/>
      <c r="F131" s="5"/>
      <c r="G131" s="5"/>
      <c r="H131" s="5"/>
    </row>
    <row r="132" ht="15.75" customHeight="1">
      <c r="A132" s="187"/>
      <c r="B132" s="5"/>
      <c r="C132" s="5"/>
      <c r="D132" s="5"/>
      <c r="E132" s="5"/>
      <c r="F132" s="5"/>
      <c r="G132" s="5"/>
      <c r="H132" s="5"/>
    </row>
    <row r="133" ht="15.75" customHeight="1">
      <c r="A133" s="187"/>
      <c r="B133" s="5"/>
      <c r="C133" s="5"/>
      <c r="D133" s="5"/>
      <c r="E133" s="5"/>
      <c r="F133" s="5"/>
      <c r="G133" s="5"/>
      <c r="H133" s="5"/>
    </row>
    <row r="134" ht="15.75" customHeight="1">
      <c r="A134" s="187"/>
      <c r="B134" s="5"/>
      <c r="C134" s="5"/>
      <c r="D134" s="5"/>
      <c r="E134" s="5"/>
      <c r="F134" s="5"/>
      <c r="G134" s="5"/>
      <c r="H134" s="5"/>
    </row>
    <row r="135" ht="15.75" customHeight="1">
      <c r="A135" s="187"/>
      <c r="B135" s="5"/>
      <c r="C135" s="5"/>
      <c r="D135" s="5"/>
      <c r="E135" s="5"/>
      <c r="F135" s="5"/>
      <c r="G135" s="5"/>
      <c r="H135" s="5"/>
    </row>
    <row r="136" ht="15.75" customHeight="1">
      <c r="A136" s="187"/>
      <c r="B136" s="5"/>
      <c r="C136" s="5"/>
      <c r="D136" s="5"/>
      <c r="E136" s="5"/>
      <c r="F136" s="5"/>
      <c r="G136" s="5"/>
      <c r="H136" s="5"/>
    </row>
    <row r="137" ht="15.75" customHeight="1">
      <c r="A137" s="187"/>
      <c r="B137" s="5"/>
      <c r="C137" s="5"/>
      <c r="D137" s="5"/>
      <c r="E137" s="5"/>
      <c r="F137" s="5"/>
      <c r="G137" s="5"/>
      <c r="H137" s="5"/>
    </row>
    <row r="138" ht="15.75" customHeight="1">
      <c r="A138" s="187"/>
      <c r="B138" s="5"/>
      <c r="C138" s="5"/>
      <c r="D138" s="5"/>
      <c r="E138" s="5"/>
      <c r="F138" s="5"/>
      <c r="G138" s="5"/>
      <c r="H138" s="5"/>
    </row>
    <row r="139" ht="15.75" customHeight="1">
      <c r="A139" s="187"/>
      <c r="B139" s="5"/>
      <c r="C139" s="5"/>
      <c r="D139" s="5"/>
      <c r="E139" s="5"/>
      <c r="F139" s="5"/>
      <c r="G139" s="5"/>
      <c r="H139" s="5"/>
    </row>
    <row r="140" ht="15.75" customHeight="1">
      <c r="A140" s="187"/>
      <c r="B140" s="5"/>
      <c r="C140" s="5"/>
      <c r="D140" s="5"/>
      <c r="E140" s="5"/>
      <c r="F140" s="5"/>
      <c r="G140" s="5"/>
      <c r="H140" s="5"/>
    </row>
    <row r="141" ht="15.75" customHeight="1">
      <c r="A141" s="187"/>
      <c r="B141" s="5"/>
      <c r="C141" s="5"/>
      <c r="D141" s="5"/>
      <c r="E141" s="5"/>
      <c r="F141" s="5"/>
      <c r="G141" s="5"/>
      <c r="H141" s="5"/>
    </row>
    <row r="142" ht="15.75" customHeight="1">
      <c r="A142" s="187"/>
      <c r="B142" s="5"/>
      <c r="C142" s="5"/>
      <c r="D142" s="5"/>
      <c r="E142" s="5"/>
      <c r="F142" s="5"/>
      <c r="G142" s="5"/>
      <c r="H142" s="5"/>
    </row>
    <row r="143" ht="15.75" customHeight="1">
      <c r="A143" s="187"/>
      <c r="B143" s="5"/>
      <c r="C143" s="5"/>
      <c r="D143" s="5"/>
      <c r="E143" s="5"/>
      <c r="F143" s="5"/>
      <c r="G143" s="5"/>
      <c r="H143" s="5"/>
    </row>
    <row r="144" ht="15.75" customHeight="1">
      <c r="A144" s="187"/>
      <c r="B144" s="5"/>
      <c r="C144" s="5"/>
      <c r="D144" s="5"/>
      <c r="E144" s="5"/>
      <c r="F144" s="5"/>
      <c r="G144" s="5"/>
      <c r="H144" s="5"/>
    </row>
    <row r="145" ht="15.75" customHeight="1">
      <c r="A145" s="187"/>
      <c r="B145" s="5"/>
      <c r="C145" s="5"/>
      <c r="D145" s="5"/>
      <c r="E145" s="5"/>
      <c r="F145" s="5"/>
      <c r="G145" s="5"/>
      <c r="H145" s="5"/>
    </row>
    <row r="146" ht="15.75" customHeight="1">
      <c r="A146" s="187"/>
      <c r="B146" s="5"/>
      <c r="C146" s="5"/>
      <c r="D146" s="5"/>
      <c r="E146" s="5"/>
      <c r="F146" s="5"/>
      <c r="G146" s="5"/>
      <c r="H146" s="5"/>
    </row>
    <row r="147" ht="15.75" customHeight="1">
      <c r="A147" s="187"/>
      <c r="B147" s="5"/>
      <c r="C147" s="5"/>
      <c r="D147" s="5"/>
      <c r="E147" s="5"/>
      <c r="F147" s="5"/>
      <c r="G147" s="5"/>
      <c r="H147" s="5"/>
    </row>
    <row r="148" ht="15.75" customHeight="1">
      <c r="A148" s="187"/>
      <c r="B148" s="5"/>
      <c r="C148" s="5"/>
      <c r="D148" s="5"/>
      <c r="E148" s="5"/>
      <c r="F148" s="5"/>
      <c r="G148" s="5"/>
      <c r="H148" s="5"/>
    </row>
    <row r="149" ht="15.75" customHeight="1">
      <c r="A149" s="187"/>
      <c r="B149" s="5"/>
      <c r="C149" s="5"/>
      <c r="D149" s="5"/>
      <c r="E149" s="5"/>
      <c r="F149" s="5"/>
      <c r="G149" s="5"/>
      <c r="H149" s="5"/>
    </row>
    <row r="150" ht="15.75" customHeight="1">
      <c r="A150" s="187"/>
      <c r="B150" s="5"/>
      <c r="C150" s="5"/>
      <c r="D150" s="5"/>
      <c r="E150" s="5"/>
      <c r="F150" s="5"/>
      <c r="G150" s="5"/>
      <c r="H150" s="5"/>
    </row>
    <row r="151" ht="15.75" customHeight="1">
      <c r="A151" s="187"/>
      <c r="B151" s="5"/>
      <c r="C151" s="5"/>
      <c r="D151" s="5"/>
      <c r="E151" s="5"/>
      <c r="F151" s="5"/>
      <c r="G151" s="5"/>
      <c r="H151" s="5"/>
    </row>
    <row r="152" ht="15.75" customHeight="1">
      <c r="A152" s="187"/>
      <c r="B152" s="5"/>
      <c r="C152" s="5"/>
      <c r="D152" s="5"/>
      <c r="E152" s="5"/>
      <c r="F152" s="5"/>
      <c r="G152" s="5"/>
      <c r="H152" s="5"/>
    </row>
    <row r="153" ht="15.75" customHeight="1">
      <c r="A153" s="187"/>
      <c r="B153" s="5"/>
      <c r="C153" s="5"/>
      <c r="D153" s="5"/>
      <c r="E153" s="5"/>
      <c r="F153" s="5"/>
      <c r="G153" s="5"/>
      <c r="H153" s="5"/>
    </row>
    <row r="154" ht="15.75" customHeight="1">
      <c r="A154" s="187"/>
      <c r="B154" s="5"/>
      <c r="C154" s="5"/>
      <c r="D154" s="5"/>
      <c r="E154" s="5"/>
      <c r="F154" s="5"/>
      <c r="G154" s="5"/>
      <c r="H154" s="5"/>
    </row>
    <row r="155" ht="15.75" customHeight="1">
      <c r="A155" s="187"/>
      <c r="B155" s="5"/>
      <c r="C155" s="5"/>
      <c r="D155" s="5"/>
      <c r="E155" s="5"/>
      <c r="F155" s="5"/>
      <c r="G155" s="5"/>
      <c r="H155" s="5"/>
    </row>
    <row r="156" ht="15.75" customHeight="1">
      <c r="A156" s="187"/>
      <c r="B156" s="5"/>
      <c r="C156" s="5"/>
      <c r="D156" s="5"/>
      <c r="E156" s="5"/>
      <c r="F156" s="5"/>
      <c r="G156" s="5"/>
      <c r="H156" s="5"/>
    </row>
    <row r="157" ht="15.75" customHeight="1">
      <c r="A157" s="187"/>
      <c r="B157" s="5"/>
      <c r="C157" s="5"/>
      <c r="D157" s="5"/>
      <c r="E157" s="5"/>
      <c r="F157" s="5"/>
      <c r="G157" s="5"/>
      <c r="H157" s="5"/>
    </row>
    <row r="158" ht="15.75" customHeight="1">
      <c r="A158" s="187"/>
      <c r="B158" s="5"/>
      <c r="C158" s="5"/>
      <c r="D158" s="5"/>
      <c r="E158" s="5"/>
      <c r="F158" s="5"/>
      <c r="G158" s="5"/>
      <c r="H158" s="5"/>
    </row>
    <row r="159" ht="15.75" customHeight="1">
      <c r="A159" s="187"/>
      <c r="B159" s="5"/>
      <c r="C159" s="5"/>
      <c r="D159" s="5"/>
      <c r="E159" s="5"/>
      <c r="F159" s="5"/>
      <c r="G159" s="5"/>
      <c r="H159" s="5"/>
    </row>
    <row r="160" ht="15.75" customHeight="1">
      <c r="A160" s="187"/>
      <c r="B160" s="5"/>
      <c r="C160" s="5"/>
      <c r="D160" s="5"/>
      <c r="E160" s="5"/>
      <c r="F160" s="5"/>
      <c r="G160" s="5"/>
      <c r="H160" s="5"/>
    </row>
    <row r="161" ht="15.75" customHeight="1">
      <c r="A161" s="187"/>
      <c r="B161" s="5"/>
      <c r="C161" s="5"/>
      <c r="D161" s="5"/>
      <c r="E161" s="5"/>
      <c r="F161" s="5"/>
      <c r="G161" s="5"/>
      <c r="H161" s="5"/>
    </row>
    <row r="162" ht="15.75" customHeight="1">
      <c r="A162" s="187"/>
      <c r="B162" s="5"/>
      <c r="C162" s="5"/>
      <c r="D162" s="5"/>
      <c r="E162" s="5"/>
      <c r="F162" s="5"/>
      <c r="G162" s="5"/>
      <c r="H162" s="5"/>
    </row>
    <row r="163" ht="15.75" customHeight="1">
      <c r="A163" s="187"/>
      <c r="B163" s="5"/>
      <c r="C163" s="5"/>
      <c r="D163" s="5"/>
      <c r="E163" s="5"/>
      <c r="F163" s="5"/>
      <c r="G163" s="5"/>
      <c r="H163" s="5"/>
    </row>
    <row r="164" ht="15.75" customHeight="1">
      <c r="A164" s="187"/>
      <c r="B164" s="5"/>
      <c r="C164" s="5"/>
      <c r="D164" s="5"/>
      <c r="E164" s="5"/>
      <c r="F164" s="5"/>
      <c r="G164" s="5"/>
      <c r="H164" s="5"/>
    </row>
    <row r="165" ht="15.75" customHeight="1">
      <c r="A165" s="187"/>
      <c r="B165" s="5"/>
      <c r="C165" s="5"/>
      <c r="D165" s="5"/>
      <c r="E165" s="5"/>
      <c r="F165" s="5"/>
      <c r="G165" s="5"/>
      <c r="H165" s="5"/>
    </row>
    <row r="166" ht="15.75" customHeight="1">
      <c r="A166" s="187"/>
      <c r="B166" s="5"/>
      <c r="C166" s="5"/>
      <c r="D166" s="5"/>
      <c r="E166" s="5"/>
      <c r="F166" s="5"/>
      <c r="G166" s="5"/>
      <c r="H166" s="5"/>
    </row>
    <row r="167" ht="15.75" customHeight="1">
      <c r="A167" s="187"/>
      <c r="B167" s="5"/>
      <c r="C167" s="5"/>
      <c r="D167" s="5"/>
      <c r="E167" s="5"/>
      <c r="F167" s="5"/>
      <c r="G167" s="5"/>
      <c r="H167" s="5"/>
    </row>
    <row r="168" ht="15.75" customHeight="1">
      <c r="A168" s="187"/>
      <c r="B168" s="5"/>
      <c r="C168" s="5"/>
      <c r="D168" s="5"/>
      <c r="E168" s="5"/>
      <c r="F168" s="5"/>
      <c r="G168" s="5"/>
      <c r="H168" s="5"/>
    </row>
    <row r="169" ht="15.75" customHeight="1">
      <c r="A169" s="187"/>
      <c r="B169" s="5"/>
      <c r="C169" s="5"/>
      <c r="D169" s="5"/>
      <c r="E169" s="5"/>
      <c r="F169" s="5"/>
      <c r="G169" s="5"/>
      <c r="H169" s="5"/>
    </row>
    <row r="170" ht="15.75" customHeight="1">
      <c r="A170" s="187"/>
      <c r="B170" s="5"/>
      <c r="C170" s="5"/>
      <c r="D170" s="5"/>
      <c r="E170" s="5"/>
      <c r="F170" s="5"/>
      <c r="G170" s="5"/>
      <c r="H170" s="5"/>
    </row>
    <row r="171" ht="15.75" customHeight="1">
      <c r="A171" s="187"/>
      <c r="B171" s="5"/>
      <c r="C171" s="5"/>
      <c r="D171" s="5"/>
      <c r="E171" s="5"/>
      <c r="F171" s="5"/>
      <c r="G171" s="5"/>
      <c r="H171" s="5"/>
    </row>
    <row r="172" ht="15.75" customHeight="1">
      <c r="A172" s="187"/>
      <c r="B172" s="5"/>
      <c r="C172" s="5"/>
      <c r="D172" s="5"/>
      <c r="E172" s="5"/>
      <c r="F172" s="5"/>
      <c r="G172" s="5"/>
      <c r="H172" s="5"/>
    </row>
    <row r="173" ht="15.75" customHeight="1">
      <c r="A173" s="187"/>
      <c r="B173" s="5"/>
      <c r="C173" s="5"/>
      <c r="D173" s="5"/>
      <c r="E173" s="5"/>
      <c r="F173" s="5"/>
      <c r="G173" s="5"/>
      <c r="H173" s="5"/>
    </row>
    <row r="174" ht="15.75" customHeight="1">
      <c r="A174" s="187"/>
      <c r="B174" s="5"/>
      <c r="C174" s="5"/>
      <c r="D174" s="5"/>
      <c r="E174" s="5"/>
      <c r="F174" s="5"/>
      <c r="G174" s="5"/>
      <c r="H174" s="5"/>
    </row>
    <row r="175" ht="15.75" customHeight="1">
      <c r="A175" s="187"/>
      <c r="B175" s="5"/>
      <c r="C175" s="5"/>
      <c r="D175" s="5"/>
      <c r="E175" s="5"/>
      <c r="F175" s="5"/>
      <c r="G175" s="5"/>
      <c r="H175" s="5"/>
    </row>
    <row r="176" ht="15.75" customHeight="1">
      <c r="A176" s="187"/>
      <c r="B176" s="5"/>
      <c r="C176" s="5"/>
      <c r="D176" s="5"/>
      <c r="E176" s="5"/>
      <c r="F176" s="5"/>
      <c r="G176" s="5"/>
      <c r="H176" s="5"/>
    </row>
    <row r="177" ht="15.75" customHeight="1">
      <c r="A177" s="187"/>
      <c r="B177" s="5"/>
      <c r="C177" s="5"/>
      <c r="D177" s="5"/>
      <c r="E177" s="5"/>
      <c r="F177" s="5"/>
      <c r="G177" s="5"/>
      <c r="H177" s="5"/>
    </row>
    <row r="178" ht="15.75" customHeight="1">
      <c r="A178" s="187"/>
      <c r="B178" s="5"/>
      <c r="C178" s="5"/>
      <c r="D178" s="5"/>
      <c r="E178" s="5"/>
      <c r="F178" s="5"/>
      <c r="G178" s="5"/>
      <c r="H178" s="5"/>
    </row>
    <row r="179" ht="15.75" customHeight="1">
      <c r="A179" s="187"/>
      <c r="B179" s="5"/>
      <c r="C179" s="5"/>
      <c r="D179" s="5"/>
      <c r="E179" s="5"/>
      <c r="F179" s="5"/>
      <c r="G179" s="5"/>
      <c r="H179" s="5"/>
    </row>
    <row r="180" ht="15.75" customHeight="1">
      <c r="A180" s="187"/>
      <c r="B180" s="5"/>
      <c r="C180" s="5"/>
      <c r="D180" s="5"/>
      <c r="E180" s="5"/>
      <c r="F180" s="5"/>
      <c r="G180" s="5"/>
      <c r="H180" s="5"/>
    </row>
    <row r="181" ht="15.75" customHeight="1">
      <c r="A181" s="187"/>
      <c r="B181" s="5"/>
      <c r="C181" s="5"/>
      <c r="D181" s="5"/>
      <c r="E181" s="5"/>
      <c r="F181" s="5"/>
      <c r="G181" s="5"/>
      <c r="H181" s="5"/>
    </row>
    <row r="182" ht="15.75" customHeight="1">
      <c r="A182" s="187"/>
      <c r="B182" s="5"/>
      <c r="C182" s="5"/>
      <c r="D182" s="5"/>
      <c r="E182" s="5"/>
      <c r="F182" s="5"/>
      <c r="G182" s="5"/>
      <c r="H182" s="5"/>
    </row>
    <row r="183" ht="15.75" customHeight="1">
      <c r="A183" s="187"/>
      <c r="B183" s="5"/>
      <c r="C183" s="5"/>
      <c r="D183" s="5"/>
      <c r="E183" s="5"/>
      <c r="F183" s="5"/>
      <c r="G183" s="5"/>
      <c r="H183" s="5"/>
    </row>
    <row r="184" ht="15.75" customHeight="1">
      <c r="A184" s="187"/>
      <c r="B184" s="5"/>
      <c r="C184" s="5"/>
      <c r="D184" s="5"/>
      <c r="E184" s="5"/>
      <c r="F184" s="5"/>
      <c r="G184" s="5"/>
      <c r="H184" s="5"/>
    </row>
    <row r="185" ht="15.75" customHeight="1">
      <c r="A185" s="187"/>
      <c r="B185" s="5"/>
      <c r="C185" s="5"/>
      <c r="D185" s="5"/>
      <c r="E185" s="5"/>
      <c r="F185" s="5"/>
      <c r="G185" s="5"/>
      <c r="H185" s="5"/>
    </row>
    <row r="186" ht="15.75" customHeight="1">
      <c r="A186" s="187"/>
      <c r="B186" s="5"/>
      <c r="C186" s="5"/>
      <c r="D186" s="5"/>
      <c r="E186" s="5"/>
      <c r="F186" s="5"/>
      <c r="G186" s="5"/>
      <c r="H186" s="5"/>
    </row>
    <row r="187" ht="15.75" customHeight="1">
      <c r="A187" s="187"/>
      <c r="B187" s="5"/>
      <c r="C187" s="5"/>
      <c r="D187" s="5"/>
      <c r="E187" s="5"/>
      <c r="F187" s="5"/>
      <c r="G187" s="5"/>
      <c r="H187" s="5"/>
    </row>
    <row r="188" ht="15.75" customHeight="1">
      <c r="A188" s="187"/>
      <c r="B188" s="5"/>
      <c r="C188" s="5"/>
      <c r="D188" s="5"/>
      <c r="E188" s="5"/>
      <c r="F188" s="5"/>
      <c r="G188" s="5"/>
      <c r="H188" s="5"/>
    </row>
    <row r="189" ht="15.75" customHeight="1">
      <c r="A189" s="187"/>
      <c r="B189" s="5"/>
      <c r="C189" s="5"/>
      <c r="D189" s="5"/>
      <c r="E189" s="5"/>
      <c r="F189" s="5"/>
      <c r="G189" s="5"/>
      <c r="H189" s="5"/>
    </row>
    <row r="190" ht="15.75" customHeight="1">
      <c r="A190" s="187"/>
      <c r="B190" s="5"/>
      <c r="C190" s="5"/>
      <c r="D190" s="5"/>
      <c r="E190" s="5"/>
      <c r="F190" s="5"/>
      <c r="G190" s="5"/>
      <c r="H190" s="5"/>
    </row>
    <row r="191" ht="15.75" customHeight="1">
      <c r="A191" s="187"/>
      <c r="B191" s="5"/>
      <c r="C191" s="5"/>
      <c r="D191" s="5"/>
      <c r="E191" s="5"/>
      <c r="F191" s="5"/>
      <c r="G191" s="5"/>
      <c r="H191" s="5"/>
    </row>
    <row r="192" ht="15.75" customHeight="1">
      <c r="A192" s="187"/>
      <c r="B192" s="5"/>
      <c r="C192" s="5"/>
      <c r="D192" s="5"/>
      <c r="E192" s="5"/>
      <c r="F192" s="5"/>
      <c r="G192" s="5"/>
      <c r="H192" s="5"/>
    </row>
    <row r="193" ht="15.75" customHeight="1">
      <c r="A193" s="187"/>
      <c r="B193" s="5"/>
      <c r="C193" s="5"/>
      <c r="D193" s="5"/>
      <c r="E193" s="5"/>
      <c r="F193" s="5"/>
      <c r="G193" s="5"/>
      <c r="H193" s="5"/>
    </row>
    <row r="194" ht="15.75" customHeight="1">
      <c r="A194" s="187"/>
      <c r="B194" s="5"/>
      <c r="C194" s="5"/>
      <c r="D194" s="5"/>
      <c r="E194" s="5"/>
      <c r="F194" s="5"/>
      <c r="G194" s="5"/>
      <c r="H194" s="5"/>
    </row>
    <row r="195" ht="15.75" customHeight="1">
      <c r="A195" s="187"/>
      <c r="B195" s="5"/>
      <c r="C195" s="5"/>
      <c r="D195" s="5"/>
      <c r="E195" s="5"/>
      <c r="F195" s="5"/>
      <c r="G195" s="5"/>
      <c r="H195" s="5"/>
    </row>
    <row r="196" ht="15.75" customHeight="1">
      <c r="A196" s="187"/>
      <c r="B196" s="5"/>
      <c r="C196" s="5"/>
      <c r="D196" s="5"/>
      <c r="E196" s="5"/>
      <c r="F196" s="5"/>
      <c r="G196" s="5"/>
      <c r="H196" s="5"/>
    </row>
    <row r="197" ht="15.75" customHeight="1">
      <c r="A197" s="187"/>
      <c r="B197" s="5"/>
      <c r="C197" s="5"/>
      <c r="D197" s="5"/>
      <c r="E197" s="5"/>
      <c r="F197" s="5"/>
      <c r="G197" s="5"/>
      <c r="H197" s="5"/>
    </row>
    <row r="198" ht="15.75" customHeight="1">
      <c r="A198" s="187"/>
      <c r="B198" s="5"/>
      <c r="C198" s="5"/>
      <c r="D198" s="5"/>
      <c r="E198" s="5"/>
      <c r="F198" s="5"/>
      <c r="G198" s="5"/>
      <c r="H198" s="5"/>
    </row>
    <row r="199" ht="15.75" customHeight="1">
      <c r="A199" s="187"/>
      <c r="B199" s="5"/>
      <c r="C199" s="5"/>
      <c r="D199" s="5"/>
      <c r="E199" s="5"/>
      <c r="F199" s="5"/>
      <c r="G199" s="5"/>
      <c r="H199" s="5"/>
    </row>
    <row r="200" ht="15.75" customHeight="1">
      <c r="A200" s="187"/>
      <c r="B200" s="5"/>
      <c r="C200" s="5"/>
      <c r="D200" s="5"/>
      <c r="E200" s="5"/>
      <c r="F200" s="5"/>
      <c r="G200" s="5"/>
      <c r="H200" s="5"/>
    </row>
    <row r="201" ht="15.75" customHeight="1">
      <c r="A201" s="187"/>
      <c r="B201" s="5"/>
      <c r="C201" s="5"/>
      <c r="D201" s="5"/>
      <c r="E201" s="5"/>
      <c r="F201" s="5"/>
      <c r="G201" s="5"/>
      <c r="H201" s="5"/>
    </row>
    <row r="202" ht="15.75" customHeight="1">
      <c r="A202" s="187"/>
      <c r="B202" s="5"/>
      <c r="C202" s="5"/>
      <c r="D202" s="5"/>
      <c r="E202" s="5"/>
      <c r="F202" s="5"/>
      <c r="G202" s="5"/>
      <c r="H202" s="5"/>
    </row>
    <row r="203" ht="15.75" customHeight="1">
      <c r="A203" s="187"/>
      <c r="B203" s="5"/>
      <c r="C203" s="5"/>
      <c r="D203" s="5"/>
      <c r="E203" s="5"/>
      <c r="F203" s="5"/>
      <c r="G203" s="5"/>
      <c r="H203" s="5"/>
    </row>
    <row r="204" ht="15.75" customHeight="1">
      <c r="A204" s="187"/>
      <c r="B204" s="5"/>
      <c r="C204" s="5"/>
      <c r="D204" s="5"/>
      <c r="E204" s="5"/>
      <c r="F204" s="5"/>
      <c r="G204" s="5"/>
      <c r="H204" s="5"/>
    </row>
    <row r="205" ht="15.75" customHeight="1">
      <c r="A205" s="187"/>
      <c r="B205" s="5"/>
      <c r="C205" s="5"/>
      <c r="D205" s="5"/>
      <c r="E205" s="5"/>
      <c r="F205" s="5"/>
      <c r="G205" s="5"/>
      <c r="H205" s="5"/>
    </row>
    <row r="206" ht="15.75" customHeight="1">
      <c r="A206" s="187"/>
      <c r="B206" s="5"/>
      <c r="C206" s="5"/>
      <c r="D206" s="5"/>
      <c r="E206" s="5"/>
      <c r="F206" s="5"/>
      <c r="G206" s="5"/>
      <c r="H206" s="5"/>
    </row>
    <row r="207" ht="15.75" customHeight="1">
      <c r="A207" s="187"/>
      <c r="B207" s="5"/>
      <c r="C207" s="5"/>
      <c r="D207" s="5"/>
      <c r="E207" s="5"/>
      <c r="F207" s="5"/>
      <c r="G207" s="5"/>
      <c r="H207" s="5"/>
    </row>
    <row r="208" ht="15.75" customHeight="1">
      <c r="A208" s="187"/>
      <c r="B208" s="5"/>
      <c r="C208" s="5"/>
      <c r="D208" s="5"/>
      <c r="E208" s="5"/>
      <c r="F208" s="5"/>
      <c r="G208" s="5"/>
      <c r="H208" s="5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3">
    <mergeCell ref="A1:H1"/>
    <mergeCell ref="A2:H2"/>
    <mergeCell ref="A8:E8"/>
  </mergeCells>
  <dataValidations>
    <dataValidation type="list" allowBlank="1" showErrorMessage="1" sqref="B4:B7">
      <formula1>"Team Member 1,Team Member 2,Team Member 3,Team Member 4,Team Member 5,Team Member 6,Team Member 7,Team Member 8"</formula1>
    </dataValidation>
    <dataValidation type="custom" allowBlank="1" showDropDown="1" sqref="A4:A7">
      <formula1>OR(NOT(ISERROR(DATEVALUE(A4))), AND(ISNUMBER(A4), LEFT(CELL("format", A4))="D"))</formula1>
    </dataValidation>
    <dataValidation type="list" allowBlank="1" showErrorMessage="1" sqref="C4:C7">
      <formula1>"Language Analyst,Language Analyst - Lead,Project Manager,Project Manager - Lead,Terminologist - Lead,Terminologist,Engineer - Lead,Engineer"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4.0"/>
    <col customWidth="1" min="4" max="4" width="22.0"/>
    <col customWidth="1" min="5" max="5" width="38.86"/>
    <col customWidth="1" min="6" max="6" width="10.86"/>
    <col customWidth="1" hidden="1" min="7" max="7" width="8.57"/>
    <col customWidth="1" min="8" max="8" width="12.0"/>
    <col customWidth="1" min="9" max="9" width="19.86"/>
    <col customWidth="1" min="10" max="10" width="18.43"/>
    <col customWidth="1" min="11" max="26" width="8.71"/>
  </cols>
  <sheetData>
    <row r="1" ht="25.5" customHeight="1">
      <c r="A1" s="189" t="s">
        <v>173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190" t="s">
        <v>165</v>
      </c>
      <c r="B2" s="2"/>
      <c r="C2" s="2"/>
      <c r="D2" s="2"/>
      <c r="E2" s="2"/>
      <c r="F2" s="2"/>
      <c r="G2" s="2"/>
      <c r="H2" s="3"/>
    </row>
    <row r="3" ht="19.5" customHeight="1">
      <c r="A3" s="191" t="s">
        <v>166</v>
      </c>
      <c r="B3" s="192" t="s">
        <v>2</v>
      </c>
      <c r="C3" s="192" t="s">
        <v>3</v>
      </c>
      <c r="D3" s="192" t="s">
        <v>77</v>
      </c>
      <c r="E3" s="209" t="s">
        <v>167</v>
      </c>
      <c r="F3" s="192" t="s">
        <v>7</v>
      </c>
      <c r="G3" s="192" t="s">
        <v>83</v>
      </c>
      <c r="H3" s="192" t="s">
        <v>168</v>
      </c>
      <c r="I3" s="210" t="s">
        <v>174</v>
      </c>
      <c r="J3" s="192" t="s">
        <v>175</v>
      </c>
    </row>
    <row r="4" ht="15.0" customHeight="1">
      <c r="A4" s="211">
        <v>46144.0</v>
      </c>
      <c r="B4" s="204" t="s">
        <v>15</v>
      </c>
      <c r="C4" s="204" t="s">
        <v>16</v>
      </c>
      <c r="D4" s="212" t="s">
        <v>87</v>
      </c>
      <c r="E4" s="213"/>
      <c r="F4" s="204">
        <v>1000.0</v>
      </c>
      <c r="G4" s="214">
        <f>IF(D4="Translation", RATE_TRANSLATION,
 IF(D4="Review", RATE_REVIEW,
  IF(D4="Full PE (.po)", RATE_POSTEDIT,
   IF(D4="Light PE (.html)", RATE_POSTEDIT, ""))))</f>
        <v>0.01</v>
      </c>
      <c r="H4" s="215">
        <f t="shared" ref="H4:H7" si="1">IF(AND(F4&lt;&gt;"",G4&lt;&gt;""),F4*G4,"")</f>
        <v>10</v>
      </c>
      <c r="I4" s="216" t="s">
        <v>12</v>
      </c>
      <c r="J4" s="5">
        <v>100.0</v>
      </c>
    </row>
    <row r="5" ht="15.0" customHeight="1">
      <c r="A5" s="193">
        <v>46144.0</v>
      </c>
      <c r="B5" s="194" t="s">
        <v>22</v>
      </c>
      <c r="C5" s="195" t="s">
        <v>23</v>
      </c>
      <c r="D5" s="195" t="s">
        <v>87</v>
      </c>
      <c r="E5" s="217"/>
      <c r="F5" s="194">
        <v>1000.0</v>
      </c>
      <c r="G5" s="196">
        <f>IF(D5="Translation", RATE_TRANSLATION,
 IF(D5="Review", RATE_REVIEW,
  IF(D5="Full PE (.po)", RATE_POSTEDIT,
   IF(D5="Light PE (.html)", RATE_POSTEDIT, ""))))</f>
        <v>0.01</v>
      </c>
      <c r="H5" s="197">
        <f t="shared" si="1"/>
        <v>10</v>
      </c>
      <c r="I5" s="218" t="s">
        <v>19</v>
      </c>
      <c r="J5" s="219">
        <v>100.0</v>
      </c>
    </row>
    <row r="6" ht="15.0" customHeight="1">
      <c r="A6" s="211">
        <v>46144.0</v>
      </c>
      <c r="B6" s="204" t="s">
        <v>29</v>
      </c>
      <c r="C6" s="204" t="s">
        <v>176</v>
      </c>
      <c r="D6" s="212" t="s">
        <v>87</v>
      </c>
      <c r="E6" s="220"/>
      <c r="F6" s="204">
        <v>1000.0</v>
      </c>
      <c r="G6" s="214">
        <f>IF(D6="Translation", RATE_TRANSLATION,
 IF(D6="Review", RATE_REVIEW,
  IF(D6="Full PE (.po)", RATE_POSTEDIT,
   IF(D6="Light PE (.html)", RATE_POSTEDIT, ""))))</f>
        <v>0.01</v>
      </c>
      <c r="H6" s="215">
        <f t="shared" si="1"/>
        <v>10</v>
      </c>
      <c r="I6" s="221" t="s">
        <v>26</v>
      </c>
      <c r="J6" s="221">
        <v>100.0</v>
      </c>
    </row>
    <row r="7" ht="15.0" customHeight="1">
      <c r="A7" s="193">
        <v>46144.0</v>
      </c>
      <c r="B7" s="194" t="s">
        <v>36</v>
      </c>
      <c r="C7" s="194" t="s">
        <v>37</v>
      </c>
      <c r="D7" s="195" t="s">
        <v>87</v>
      </c>
      <c r="E7" s="217"/>
      <c r="F7" s="194">
        <v>1000.0</v>
      </c>
      <c r="G7" s="196">
        <f>IF(D7="Translation", RATE_TRANSLATION,
 IF(D7="Review", RATE_REVIEW,
  IF(D7="Full PE (.po)", RATE_POSTEDIT,
   IF(D7="Light PE (.html)", RATE_POSTEDIT, ""))))</f>
        <v>0.01</v>
      </c>
      <c r="H7" s="197">
        <f t="shared" si="1"/>
        <v>10</v>
      </c>
      <c r="I7" s="218" t="s">
        <v>33</v>
      </c>
      <c r="J7" s="219">
        <v>100.0</v>
      </c>
    </row>
    <row r="8" ht="19.5" customHeight="1">
      <c r="A8" s="205" t="s">
        <v>172</v>
      </c>
      <c r="B8" s="8"/>
      <c r="C8" s="8"/>
      <c r="D8" s="8"/>
      <c r="E8" s="9"/>
      <c r="F8" s="206">
        <f>SUM(F4:F7)</f>
        <v>4000</v>
      </c>
      <c r="G8" s="207"/>
      <c r="H8" s="208">
        <f>SUM(H4:H7)</f>
        <v>40</v>
      </c>
      <c r="I8" s="222"/>
      <c r="J8" s="223">
        <f>AVERAGE(J4:J7)</f>
        <v>100</v>
      </c>
    </row>
    <row r="9" ht="15.75" customHeight="1">
      <c r="A9" s="187"/>
      <c r="B9" s="5"/>
      <c r="C9" s="5"/>
      <c r="D9" s="5"/>
      <c r="E9" s="224"/>
      <c r="F9" s="5"/>
      <c r="G9" s="5"/>
      <c r="H9" s="5"/>
    </row>
    <row r="10" ht="15.75" customHeight="1">
      <c r="A10" s="187"/>
      <c r="B10" s="5"/>
      <c r="C10" s="5"/>
      <c r="D10" s="5"/>
      <c r="E10" s="224"/>
      <c r="F10" s="5"/>
      <c r="G10" s="5"/>
      <c r="H10" s="5"/>
    </row>
    <row r="11" ht="15.75" customHeight="1">
      <c r="A11" s="187"/>
      <c r="B11" s="5"/>
      <c r="C11" s="5"/>
      <c r="D11" s="5"/>
      <c r="E11" s="224"/>
      <c r="F11" s="5"/>
      <c r="G11" s="5"/>
      <c r="H11" s="5"/>
    </row>
    <row r="12" ht="15.75" customHeight="1">
      <c r="A12" s="187"/>
      <c r="B12" s="5"/>
      <c r="C12" s="5"/>
      <c r="D12" s="5"/>
      <c r="E12" s="224"/>
      <c r="F12" s="5"/>
      <c r="G12" s="5"/>
      <c r="H12" s="5"/>
    </row>
    <row r="13" ht="15.75" customHeight="1">
      <c r="A13" s="187"/>
      <c r="B13" s="5"/>
      <c r="C13" s="5"/>
      <c r="D13" s="5"/>
      <c r="E13" s="224"/>
      <c r="F13" s="5"/>
      <c r="G13" s="5"/>
      <c r="H13" s="5"/>
    </row>
    <row r="14" ht="15.75" customHeight="1">
      <c r="A14" s="187"/>
      <c r="B14" s="5"/>
      <c r="C14" s="5"/>
      <c r="D14" s="5"/>
      <c r="E14" s="224"/>
      <c r="F14" s="5"/>
      <c r="G14" s="5"/>
      <c r="H14" s="5"/>
    </row>
    <row r="15" ht="15.75" customHeight="1">
      <c r="A15" s="187"/>
      <c r="B15" s="5"/>
      <c r="C15" s="5"/>
      <c r="D15" s="5"/>
      <c r="E15" s="224"/>
      <c r="F15" s="5"/>
      <c r="G15" s="5"/>
      <c r="H15" s="5"/>
    </row>
    <row r="16" ht="15.75" customHeight="1">
      <c r="A16" s="187"/>
      <c r="B16" s="5"/>
      <c r="C16" s="5"/>
      <c r="D16" s="5"/>
      <c r="E16" s="224"/>
      <c r="F16" s="5"/>
      <c r="G16" s="5"/>
      <c r="H16" s="5"/>
    </row>
    <row r="17" ht="15.75" customHeight="1">
      <c r="A17" s="187"/>
      <c r="B17" s="5"/>
      <c r="C17" s="5"/>
      <c r="D17" s="5"/>
      <c r="E17" s="224"/>
      <c r="F17" s="5"/>
      <c r="G17" s="5"/>
      <c r="H17" s="5"/>
    </row>
    <row r="18" ht="15.75" customHeight="1">
      <c r="A18" s="187"/>
      <c r="B18" s="5"/>
      <c r="C18" s="5"/>
      <c r="D18" s="5"/>
      <c r="E18" s="224"/>
      <c r="F18" s="5"/>
      <c r="G18" s="5"/>
      <c r="H18" s="5"/>
    </row>
    <row r="19" ht="15.75" customHeight="1">
      <c r="A19" s="187"/>
      <c r="B19" s="5"/>
      <c r="C19" s="5"/>
      <c r="D19" s="5"/>
      <c r="E19" s="224"/>
      <c r="F19" s="5"/>
      <c r="G19" s="5"/>
      <c r="H19" s="5"/>
    </row>
    <row r="20" ht="15.75" customHeight="1">
      <c r="A20" s="187"/>
      <c r="B20" s="5"/>
      <c r="C20" s="5"/>
      <c r="D20" s="5"/>
      <c r="E20" s="224"/>
      <c r="F20" s="5"/>
      <c r="G20" s="5"/>
      <c r="H20" s="5"/>
    </row>
    <row r="21" ht="15.75" customHeight="1">
      <c r="A21" s="187"/>
      <c r="B21" s="5"/>
      <c r="C21" s="5"/>
      <c r="D21" s="5"/>
      <c r="E21" s="224"/>
      <c r="F21" s="5"/>
      <c r="G21" s="5"/>
      <c r="H21" s="5"/>
    </row>
    <row r="22" ht="15.75" customHeight="1">
      <c r="A22" s="187"/>
      <c r="B22" s="5"/>
      <c r="C22" s="5"/>
      <c r="D22" s="5"/>
      <c r="E22" s="224"/>
      <c r="F22" s="5"/>
      <c r="G22" s="5"/>
      <c r="H22" s="5"/>
    </row>
    <row r="23" ht="15.75" customHeight="1">
      <c r="A23" s="187"/>
      <c r="B23" s="5"/>
      <c r="C23" s="5"/>
      <c r="D23" s="5"/>
      <c r="E23" s="224"/>
      <c r="F23" s="5"/>
      <c r="G23" s="5"/>
      <c r="H23" s="5"/>
    </row>
    <row r="24" ht="15.75" customHeight="1">
      <c r="A24" s="187"/>
      <c r="B24" s="5"/>
      <c r="C24" s="5"/>
      <c r="D24" s="5"/>
      <c r="E24" s="224"/>
      <c r="F24" s="5"/>
      <c r="G24" s="5"/>
      <c r="H24" s="5"/>
    </row>
    <row r="25" ht="15.75" customHeight="1">
      <c r="A25" s="187"/>
      <c r="B25" s="5"/>
      <c r="C25" s="5"/>
      <c r="D25" s="5"/>
      <c r="E25" s="224"/>
      <c r="F25" s="5"/>
      <c r="G25" s="5"/>
      <c r="H25" s="5"/>
    </row>
    <row r="26" ht="15.75" customHeight="1">
      <c r="A26" s="187"/>
      <c r="B26" s="5"/>
      <c r="C26" s="5"/>
      <c r="D26" s="5"/>
      <c r="E26" s="224"/>
      <c r="F26" s="5"/>
      <c r="G26" s="5"/>
      <c r="H26" s="5"/>
    </row>
    <row r="27" ht="15.75" customHeight="1">
      <c r="A27" s="187"/>
      <c r="B27" s="5"/>
      <c r="C27" s="5"/>
      <c r="D27" s="5"/>
      <c r="E27" s="224"/>
      <c r="F27" s="5"/>
      <c r="G27" s="5"/>
      <c r="H27" s="5"/>
    </row>
    <row r="28" ht="15.75" customHeight="1">
      <c r="A28" s="187"/>
      <c r="B28" s="5"/>
      <c r="C28" s="5"/>
      <c r="D28" s="5"/>
      <c r="E28" s="224"/>
      <c r="F28" s="5"/>
      <c r="G28" s="5"/>
      <c r="H28" s="5"/>
    </row>
    <row r="29" ht="15.75" customHeight="1">
      <c r="A29" s="187"/>
      <c r="B29" s="5"/>
      <c r="C29" s="5"/>
      <c r="D29" s="5"/>
      <c r="E29" s="224"/>
      <c r="F29" s="5"/>
      <c r="G29" s="5"/>
      <c r="H29" s="5"/>
    </row>
    <row r="30" ht="15.75" customHeight="1">
      <c r="A30" s="187"/>
      <c r="B30" s="5"/>
      <c r="C30" s="5"/>
      <c r="D30" s="5"/>
      <c r="E30" s="224"/>
      <c r="F30" s="5"/>
      <c r="G30" s="5"/>
      <c r="H30" s="5"/>
    </row>
    <row r="31" ht="15.75" customHeight="1">
      <c r="A31" s="187"/>
      <c r="B31" s="5"/>
      <c r="C31" s="5"/>
      <c r="D31" s="5"/>
      <c r="E31" s="224"/>
      <c r="F31" s="5"/>
      <c r="G31" s="5"/>
      <c r="H31" s="5"/>
    </row>
    <row r="32" ht="15.75" customHeight="1">
      <c r="A32" s="187"/>
      <c r="B32" s="5"/>
      <c r="C32" s="5"/>
      <c r="D32" s="5"/>
      <c r="E32" s="224"/>
      <c r="F32" s="5"/>
      <c r="G32" s="5"/>
      <c r="H32" s="5"/>
    </row>
    <row r="33" ht="15.75" customHeight="1">
      <c r="A33" s="187"/>
      <c r="B33" s="5"/>
      <c r="C33" s="5"/>
      <c r="D33" s="5"/>
      <c r="E33" s="224"/>
      <c r="F33" s="5"/>
      <c r="G33" s="5"/>
      <c r="H33" s="5"/>
    </row>
    <row r="34" ht="15.75" customHeight="1">
      <c r="A34" s="187"/>
      <c r="B34" s="5"/>
      <c r="C34" s="5"/>
      <c r="D34" s="5"/>
      <c r="E34" s="224"/>
      <c r="F34" s="5"/>
      <c r="G34" s="5"/>
      <c r="H34" s="5"/>
    </row>
    <row r="35" ht="15.75" customHeight="1">
      <c r="A35" s="187"/>
      <c r="B35" s="5"/>
      <c r="C35" s="5"/>
      <c r="D35" s="5"/>
      <c r="E35" s="224"/>
      <c r="F35" s="5"/>
      <c r="G35" s="5"/>
      <c r="H35" s="5"/>
    </row>
    <row r="36" ht="15.75" customHeight="1">
      <c r="A36" s="187"/>
      <c r="B36" s="5"/>
      <c r="C36" s="5"/>
      <c r="D36" s="5"/>
      <c r="E36" s="224"/>
      <c r="F36" s="5"/>
      <c r="G36" s="5"/>
      <c r="H36" s="5"/>
    </row>
    <row r="37" ht="15.75" customHeight="1">
      <c r="A37" s="187"/>
      <c r="B37" s="5"/>
      <c r="C37" s="5"/>
      <c r="D37" s="5"/>
      <c r="E37" s="224"/>
      <c r="F37" s="5"/>
      <c r="G37" s="5"/>
      <c r="H37" s="5"/>
    </row>
    <row r="38" ht="15.75" customHeight="1">
      <c r="A38" s="187"/>
      <c r="B38" s="5"/>
      <c r="C38" s="5"/>
      <c r="D38" s="5"/>
      <c r="E38" s="224"/>
      <c r="F38" s="5"/>
      <c r="G38" s="5"/>
      <c r="H38" s="5"/>
    </row>
    <row r="39" ht="15.75" customHeight="1">
      <c r="A39" s="187"/>
      <c r="B39" s="5"/>
      <c r="C39" s="5"/>
      <c r="D39" s="5"/>
      <c r="E39" s="224"/>
      <c r="F39" s="5"/>
      <c r="G39" s="5"/>
      <c r="H39" s="5"/>
    </row>
    <row r="40" ht="15.75" customHeight="1">
      <c r="A40" s="187"/>
      <c r="B40" s="5"/>
      <c r="C40" s="5"/>
      <c r="D40" s="5"/>
      <c r="E40" s="224"/>
      <c r="F40" s="5"/>
      <c r="G40" s="5"/>
      <c r="H40" s="5"/>
    </row>
    <row r="41" ht="15.75" customHeight="1">
      <c r="A41" s="187"/>
      <c r="B41" s="5"/>
      <c r="C41" s="5"/>
      <c r="D41" s="5"/>
      <c r="E41" s="224"/>
      <c r="F41" s="5"/>
      <c r="G41" s="5"/>
      <c r="H41" s="5"/>
    </row>
    <row r="42" ht="15.75" customHeight="1">
      <c r="A42" s="187"/>
      <c r="B42" s="5"/>
      <c r="C42" s="5"/>
      <c r="D42" s="5"/>
      <c r="E42" s="224"/>
      <c r="F42" s="5"/>
      <c r="G42" s="5"/>
      <c r="H42" s="5"/>
    </row>
    <row r="43" ht="15.75" customHeight="1">
      <c r="A43" s="187"/>
      <c r="B43" s="5"/>
      <c r="C43" s="5"/>
      <c r="D43" s="5"/>
      <c r="E43" s="224"/>
      <c r="F43" s="5"/>
      <c r="G43" s="5"/>
      <c r="H43" s="5"/>
    </row>
    <row r="44" ht="15.75" customHeight="1">
      <c r="A44" s="187"/>
      <c r="B44" s="5"/>
      <c r="C44" s="5"/>
      <c r="D44" s="5"/>
      <c r="E44" s="224"/>
      <c r="F44" s="5"/>
      <c r="G44" s="5"/>
      <c r="H44" s="5"/>
    </row>
    <row r="45" ht="15.75" customHeight="1">
      <c r="A45" s="187"/>
      <c r="B45" s="5"/>
      <c r="C45" s="5"/>
      <c r="D45" s="5"/>
      <c r="E45" s="224"/>
      <c r="F45" s="5"/>
      <c r="G45" s="5"/>
      <c r="H45" s="5"/>
    </row>
    <row r="46" ht="15.75" customHeight="1">
      <c r="A46" s="187"/>
      <c r="B46" s="5"/>
      <c r="C46" s="5"/>
      <c r="D46" s="5"/>
      <c r="E46" s="224"/>
      <c r="F46" s="5"/>
      <c r="G46" s="5"/>
      <c r="H46" s="5"/>
    </row>
    <row r="47" ht="15.75" customHeight="1">
      <c r="A47" s="187"/>
      <c r="B47" s="5"/>
      <c r="C47" s="5"/>
      <c r="D47" s="5"/>
      <c r="E47" s="224"/>
      <c r="F47" s="5"/>
      <c r="G47" s="5"/>
      <c r="H47" s="5"/>
    </row>
    <row r="48" ht="15.75" customHeight="1">
      <c r="A48" s="187"/>
      <c r="B48" s="5"/>
      <c r="C48" s="5"/>
      <c r="D48" s="5"/>
      <c r="E48" s="224"/>
      <c r="F48" s="5"/>
      <c r="G48" s="5"/>
      <c r="H48" s="5"/>
    </row>
    <row r="49" ht="15.75" customHeight="1">
      <c r="A49" s="187"/>
      <c r="B49" s="5"/>
      <c r="C49" s="5"/>
      <c r="D49" s="5"/>
      <c r="E49" s="224"/>
      <c r="F49" s="5"/>
      <c r="G49" s="5"/>
      <c r="H49" s="5"/>
    </row>
    <row r="50" ht="15.75" customHeight="1">
      <c r="A50" s="187"/>
      <c r="B50" s="5"/>
      <c r="C50" s="5"/>
      <c r="D50" s="5"/>
      <c r="E50" s="224"/>
      <c r="F50" s="5"/>
      <c r="G50" s="5"/>
      <c r="H50" s="5"/>
    </row>
    <row r="51" ht="15.75" customHeight="1">
      <c r="A51" s="187"/>
      <c r="B51" s="5"/>
      <c r="C51" s="5"/>
      <c r="D51" s="5"/>
      <c r="E51" s="224"/>
      <c r="F51" s="5"/>
      <c r="G51" s="5"/>
      <c r="H51" s="5"/>
    </row>
    <row r="52" ht="15.75" customHeight="1">
      <c r="A52" s="187"/>
      <c r="B52" s="5"/>
      <c r="C52" s="5"/>
      <c r="D52" s="5"/>
      <c r="E52" s="224"/>
      <c r="F52" s="5"/>
      <c r="G52" s="5"/>
      <c r="H52" s="5"/>
    </row>
    <row r="53" ht="15.75" customHeight="1">
      <c r="A53" s="187"/>
      <c r="B53" s="5"/>
      <c r="C53" s="5"/>
      <c r="D53" s="5"/>
      <c r="E53" s="224"/>
      <c r="F53" s="5"/>
      <c r="G53" s="5"/>
      <c r="H53" s="5"/>
    </row>
    <row r="54" ht="15.75" customHeight="1">
      <c r="A54" s="187"/>
      <c r="B54" s="5"/>
      <c r="C54" s="5"/>
      <c r="D54" s="5"/>
      <c r="E54" s="224"/>
      <c r="F54" s="5"/>
      <c r="G54" s="5"/>
      <c r="H54" s="5"/>
    </row>
    <row r="55" ht="15.75" customHeight="1">
      <c r="A55" s="187"/>
      <c r="B55" s="5"/>
      <c r="C55" s="5"/>
      <c r="D55" s="5"/>
      <c r="E55" s="224"/>
      <c r="F55" s="5"/>
      <c r="G55" s="5"/>
      <c r="H55" s="5"/>
    </row>
    <row r="56" ht="15.75" customHeight="1">
      <c r="A56" s="187"/>
      <c r="B56" s="5"/>
      <c r="C56" s="5"/>
      <c r="D56" s="5"/>
      <c r="E56" s="224"/>
      <c r="F56" s="5"/>
      <c r="G56" s="5"/>
      <c r="H56" s="5"/>
    </row>
    <row r="57" ht="15.75" customHeight="1">
      <c r="A57" s="187"/>
      <c r="B57" s="5"/>
      <c r="C57" s="5"/>
      <c r="D57" s="5"/>
      <c r="E57" s="224"/>
      <c r="F57" s="5"/>
      <c r="G57" s="5"/>
      <c r="H57" s="5"/>
    </row>
    <row r="58" ht="15.75" customHeight="1">
      <c r="A58" s="187"/>
      <c r="B58" s="5"/>
      <c r="C58" s="5"/>
      <c r="D58" s="5"/>
      <c r="E58" s="224"/>
      <c r="F58" s="5"/>
      <c r="G58" s="5"/>
      <c r="H58" s="5"/>
    </row>
    <row r="59" ht="15.75" customHeight="1">
      <c r="A59" s="187"/>
      <c r="B59" s="5"/>
      <c r="C59" s="5"/>
      <c r="D59" s="5"/>
      <c r="E59" s="224"/>
      <c r="F59" s="5"/>
      <c r="G59" s="5"/>
      <c r="H59" s="5"/>
    </row>
    <row r="60" ht="15.75" customHeight="1">
      <c r="A60" s="187"/>
      <c r="B60" s="5"/>
      <c r="C60" s="5"/>
      <c r="D60" s="5"/>
      <c r="E60" s="224"/>
      <c r="F60" s="5"/>
      <c r="G60" s="5"/>
      <c r="H60" s="5"/>
    </row>
    <row r="61" ht="15.75" customHeight="1">
      <c r="A61" s="187"/>
      <c r="B61" s="5"/>
      <c r="C61" s="5"/>
      <c r="D61" s="5"/>
      <c r="E61" s="224"/>
      <c r="F61" s="5"/>
      <c r="G61" s="5"/>
      <c r="H61" s="5"/>
    </row>
    <row r="62" ht="15.75" customHeight="1">
      <c r="A62" s="187"/>
      <c r="B62" s="5"/>
      <c r="C62" s="5"/>
      <c r="D62" s="5"/>
      <c r="E62" s="224"/>
      <c r="F62" s="5"/>
      <c r="G62" s="5"/>
      <c r="H62" s="5"/>
    </row>
    <row r="63" ht="15.75" customHeight="1">
      <c r="A63" s="187"/>
      <c r="B63" s="5"/>
      <c r="C63" s="5"/>
      <c r="D63" s="5"/>
      <c r="E63" s="224"/>
      <c r="F63" s="5"/>
      <c r="G63" s="5"/>
      <c r="H63" s="5"/>
    </row>
    <row r="64" ht="15.75" customHeight="1">
      <c r="A64" s="187"/>
      <c r="B64" s="5"/>
      <c r="C64" s="5"/>
      <c r="D64" s="5"/>
      <c r="E64" s="224"/>
      <c r="F64" s="5"/>
      <c r="G64" s="5"/>
      <c r="H64" s="5"/>
    </row>
    <row r="65" ht="15.75" customHeight="1">
      <c r="A65" s="187"/>
      <c r="B65" s="5"/>
      <c r="C65" s="5"/>
      <c r="D65" s="5"/>
      <c r="E65" s="224"/>
      <c r="F65" s="5"/>
      <c r="G65" s="5"/>
      <c r="H65" s="5"/>
    </row>
    <row r="66" ht="15.75" customHeight="1">
      <c r="A66" s="187"/>
      <c r="B66" s="5"/>
      <c r="C66" s="5"/>
      <c r="D66" s="5"/>
      <c r="E66" s="224"/>
      <c r="F66" s="5"/>
      <c r="G66" s="5"/>
      <c r="H66" s="5"/>
    </row>
    <row r="67" ht="15.75" customHeight="1">
      <c r="A67" s="187"/>
      <c r="B67" s="5"/>
      <c r="C67" s="5"/>
      <c r="D67" s="5"/>
      <c r="E67" s="224"/>
      <c r="F67" s="5"/>
      <c r="G67" s="5"/>
      <c r="H67" s="5"/>
    </row>
    <row r="68" ht="15.75" customHeight="1">
      <c r="A68" s="187"/>
      <c r="B68" s="5"/>
      <c r="C68" s="5"/>
      <c r="D68" s="5"/>
      <c r="E68" s="224"/>
      <c r="F68" s="5"/>
      <c r="G68" s="5"/>
      <c r="H68" s="5"/>
    </row>
    <row r="69" ht="15.75" customHeight="1">
      <c r="A69" s="187"/>
      <c r="B69" s="5"/>
      <c r="C69" s="5"/>
      <c r="D69" s="5"/>
      <c r="E69" s="224"/>
      <c r="F69" s="5"/>
      <c r="G69" s="5"/>
      <c r="H69" s="5"/>
    </row>
    <row r="70" ht="15.75" customHeight="1">
      <c r="A70" s="187"/>
      <c r="B70" s="5"/>
      <c r="C70" s="5"/>
      <c r="D70" s="5"/>
      <c r="E70" s="224"/>
      <c r="F70" s="5"/>
      <c r="G70" s="5"/>
      <c r="H70" s="5"/>
    </row>
    <row r="71" ht="15.75" customHeight="1">
      <c r="A71" s="187"/>
      <c r="B71" s="5"/>
      <c r="C71" s="5"/>
      <c r="D71" s="5"/>
      <c r="E71" s="224"/>
      <c r="F71" s="5"/>
      <c r="G71" s="5"/>
      <c r="H71" s="5"/>
    </row>
    <row r="72" ht="15.75" customHeight="1">
      <c r="A72" s="187"/>
      <c r="B72" s="5"/>
      <c r="C72" s="5"/>
      <c r="D72" s="5"/>
      <c r="E72" s="224"/>
      <c r="F72" s="5"/>
      <c r="G72" s="5"/>
      <c r="H72" s="5"/>
    </row>
    <row r="73" ht="15.75" customHeight="1">
      <c r="A73" s="187"/>
      <c r="B73" s="5"/>
      <c r="C73" s="5"/>
      <c r="D73" s="5"/>
      <c r="E73" s="224"/>
      <c r="F73" s="5"/>
      <c r="G73" s="5"/>
      <c r="H73" s="5"/>
    </row>
    <row r="74" ht="15.75" customHeight="1">
      <c r="A74" s="187"/>
      <c r="B74" s="5"/>
      <c r="C74" s="5"/>
      <c r="D74" s="5"/>
      <c r="E74" s="224"/>
      <c r="F74" s="5"/>
      <c r="G74" s="5"/>
      <c r="H74" s="5"/>
    </row>
    <row r="75" ht="15.75" customHeight="1">
      <c r="A75" s="187"/>
      <c r="B75" s="5"/>
      <c r="C75" s="5"/>
      <c r="D75" s="5"/>
      <c r="E75" s="224"/>
      <c r="F75" s="5"/>
      <c r="G75" s="5"/>
      <c r="H75" s="5"/>
    </row>
    <row r="76" ht="15.75" customHeight="1">
      <c r="A76" s="187"/>
      <c r="B76" s="5"/>
      <c r="C76" s="5"/>
      <c r="D76" s="5"/>
      <c r="E76" s="224"/>
      <c r="F76" s="5"/>
      <c r="G76" s="5"/>
      <c r="H76" s="5"/>
    </row>
    <row r="77" ht="15.75" customHeight="1">
      <c r="A77" s="187"/>
      <c r="B77" s="5"/>
      <c r="C77" s="5"/>
      <c r="D77" s="5"/>
      <c r="E77" s="224"/>
      <c r="F77" s="5"/>
      <c r="G77" s="5"/>
      <c r="H77" s="5"/>
    </row>
    <row r="78" ht="15.75" customHeight="1">
      <c r="A78" s="187"/>
      <c r="B78" s="5"/>
      <c r="C78" s="5"/>
      <c r="D78" s="5"/>
      <c r="E78" s="224"/>
      <c r="F78" s="5"/>
      <c r="G78" s="5"/>
      <c r="H78" s="5"/>
    </row>
    <row r="79" ht="15.75" customHeight="1">
      <c r="A79" s="187"/>
      <c r="B79" s="5"/>
      <c r="C79" s="5"/>
      <c r="D79" s="5"/>
      <c r="E79" s="224"/>
      <c r="F79" s="5"/>
      <c r="G79" s="5"/>
      <c r="H79" s="5"/>
    </row>
    <row r="80" ht="15.75" customHeight="1">
      <c r="A80" s="187"/>
      <c r="B80" s="5"/>
      <c r="C80" s="5"/>
      <c r="D80" s="5"/>
      <c r="E80" s="224"/>
      <c r="F80" s="5"/>
      <c r="G80" s="5"/>
      <c r="H80" s="5"/>
    </row>
    <row r="81" ht="15.75" customHeight="1">
      <c r="A81" s="187"/>
      <c r="B81" s="5"/>
      <c r="C81" s="5"/>
      <c r="D81" s="5"/>
      <c r="E81" s="224"/>
      <c r="F81" s="5"/>
      <c r="G81" s="5"/>
      <c r="H81" s="5"/>
    </row>
    <row r="82" ht="15.75" customHeight="1">
      <c r="A82" s="187"/>
      <c r="B82" s="5"/>
      <c r="C82" s="5"/>
      <c r="D82" s="5"/>
      <c r="E82" s="224"/>
      <c r="F82" s="5"/>
      <c r="G82" s="5"/>
      <c r="H82" s="5"/>
    </row>
    <row r="83" ht="15.75" customHeight="1">
      <c r="A83" s="187"/>
      <c r="B83" s="5"/>
      <c r="C83" s="5"/>
      <c r="D83" s="5"/>
      <c r="E83" s="224"/>
      <c r="F83" s="5"/>
      <c r="G83" s="5"/>
      <c r="H83" s="5"/>
    </row>
    <row r="84" ht="15.75" customHeight="1">
      <c r="A84" s="187"/>
      <c r="B84" s="5"/>
      <c r="C84" s="5"/>
      <c r="D84" s="5"/>
      <c r="E84" s="224"/>
      <c r="F84" s="5"/>
      <c r="G84" s="5"/>
      <c r="H84" s="5"/>
    </row>
    <row r="85" ht="15.75" customHeight="1">
      <c r="A85" s="187"/>
      <c r="B85" s="5"/>
      <c r="C85" s="5"/>
      <c r="D85" s="5"/>
      <c r="E85" s="224"/>
      <c r="F85" s="5"/>
      <c r="G85" s="5"/>
      <c r="H85" s="5"/>
    </row>
    <row r="86" ht="15.75" customHeight="1">
      <c r="A86" s="187"/>
      <c r="B86" s="5"/>
      <c r="C86" s="5"/>
      <c r="D86" s="5"/>
      <c r="E86" s="224"/>
      <c r="F86" s="5"/>
      <c r="G86" s="5"/>
      <c r="H86" s="5"/>
    </row>
    <row r="87" ht="15.75" customHeight="1">
      <c r="A87" s="187"/>
      <c r="B87" s="5"/>
      <c r="C87" s="5"/>
      <c r="D87" s="5"/>
      <c r="E87" s="224"/>
      <c r="F87" s="5"/>
      <c r="G87" s="5"/>
      <c r="H87" s="5"/>
    </row>
    <row r="88" ht="15.75" customHeight="1">
      <c r="A88" s="187"/>
      <c r="B88" s="5"/>
      <c r="C88" s="5"/>
      <c r="D88" s="5"/>
      <c r="E88" s="224"/>
      <c r="F88" s="5"/>
      <c r="G88" s="5"/>
      <c r="H88" s="5"/>
    </row>
    <row r="89" ht="15.75" customHeight="1">
      <c r="A89" s="187"/>
      <c r="B89" s="5"/>
      <c r="C89" s="5"/>
      <c r="D89" s="5"/>
      <c r="E89" s="224"/>
      <c r="F89" s="5"/>
      <c r="G89" s="5"/>
      <c r="H89" s="5"/>
    </row>
    <row r="90" ht="15.75" customHeight="1">
      <c r="A90" s="187"/>
      <c r="B90" s="5"/>
      <c r="C90" s="5"/>
      <c r="D90" s="5"/>
      <c r="E90" s="224"/>
      <c r="F90" s="5"/>
      <c r="G90" s="5"/>
      <c r="H90" s="5"/>
    </row>
    <row r="91" ht="15.75" customHeight="1">
      <c r="A91" s="187"/>
      <c r="B91" s="5"/>
      <c r="C91" s="5"/>
      <c r="D91" s="5"/>
      <c r="E91" s="224"/>
      <c r="F91" s="5"/>
      <c r="G91" s="5"/>
      <c r="H91" s="5"/>
    </row>
    <row r="92" ht="15.75" customHeight="1">
      <c r="A92" s="187"/>
      <c r="B92" s="5"/>
      <c r="C92" s="5"/>
      <c r="D92" s="5"/>
      <c r="E92" s="224"/>
      <c r="F92" s="5"/>
      <c r="G92" s="5"/>
      <c r="H92" s="5"/>
    </row>
    <row r="93" ht="15.75" customHeight="1">
      <c r="A93" s="187"/>
      <c r="B93" s="5"/>
      <c r="C93" s="5"/>
      <c r="D93" s="5"/>
      <c r="E93" s="224"/>
      <c r="F93" s="5"/>
      <c r="G93" s="5"/>
      <c r="H93" s="5"/>
    </row>
    <row r="94" ht="15.75" customHeight="1">
      <c r="A94" s="187"/>
      <c r="B94" s="5"/>
      <c r="C94" s="5"/>
      <c r="D94" s="5"/>
      <c r="E94" s="224"/>
      <c r="F94" s="5"/>
      <c r="G94" s="5"/>
      <c r="H94" s="5"/>
    </row>
    <row r="95" ht="15.75" customHeight="1">
      <c r="A95" s="187"/>
      <c r="B95" s="5"/>
      <c r="C95" s="5"/>
      <c r="D95" s="5"/>
      <c r="E95" s="224"/>
      <c r="F95" s="5"/>
      <c r="G95" s="5"/>
      <c r="H95" s="5"/>
    </row>
    <row r="96" ht="15.75" customHeight="1">
      <c r="A96" s="187"/>
      <c r="B96" s="5"/>
      <c r="C96" s="5"/>
      <c r="D96" s="5"/>
      <c r="E96" s="224"/>
      <c r="F96" s="5"/>
      <c r="G96" s="5"/>
      <c r="H96" s="5"/>
    </row>
    <row r="97" ht="15.75" customHeight="1">
      <c r="A97" s="187"/>
      <c r="B97" s="5"/>
      <c r="C97" s="5"/>
      <c r="D97" s="5"/>
      <c r="E97" s="224"/>
      <c r="F97" s="5"/>
      <c r="G97" s="5"/>
      <c r="H97" s="5"/>
    </row>
    <row r="98" ht="15.75" customHeight="1">
      <c r="A98" s="187"/>
      <c r="B98" s="5"/>
      <c r="C98" s="5"/>
      <c r="D98" s="5"/>
      <c r="E98" s="224"/>
      <c r="F98" s="5"/>
      <c r="G98" s="5"/>
      <c r="H98" s="5"/>
    </row>
    <row r="99" ht="15.75" customHeight="1">
      <c r="A99" s="187"/>
      <c r="B99" s="5"/>
      <c r="C99" s="5"/>
      <c r="D99" s="5"/>
      <c r="E99" s="224"/>
      <c r="F99" s="5"/>
      <c r="G99" s="5"/>
      <c r="H99" s="5"/>
    </row>
    <row r="100" ht="15.75" customHeight="1">
      <c r="A100" s="187"/>
      <c r="B100" s="5"/>
      <c r="C100" s="5"/>
      <c r="D100" s="5"/>
      <c r="E100" s="224"/>
      <c r="F100" s="5"/>
      <c r="G100" s="5"/>
      <c r="H100" s="5"/>
    </row>
    <row r="101" ht="15.75" customHeight="1">
      <c r="A101" s="187"/>
      <c r="B101" s="5"/>
      <c r="C101" s="5"/>
      <c r="D101" s="5"/>
      <c r="E101" s="224"/>
      <c r="F101" s="5"/>
      <c r="G101" s="5"/>
      <c r="H101" s="5"/>
    </row>
    <row r="102" ht="15.75" customHeight="1">
      <c r="A102" s="187"/>
      <c r="B102" s="5"/>
      <c r="C102" s="5"/>
      <c r="D102" s="5"/>
      <c r="E102" s="224"/>
      <c r="F102" s="5"/>
      <c r="G102" s="5"/>
      <c r="H102" s="5"/>
    </row>
    <row r="103" ht="15.75" customHeight="1">
      <c r="A103" s="187"/>
      <c r="B103" s="5"/>
      <c r="C103" s="5"/>
      <c r="D103" s="5"/>
      <c r="E103" s="224"/>
      <c r="F103" s="5"/>
      <c r="G103" s="5"/>
      <c r="H103" s="5"/>
    </row>
    <row r="104" ht="15.75" customHeight="1">
      <c r="A104" s="187"/>
      <c r="B104" s="5"/>
      <c r="C104" s="5"/>
      <c r="D104" s="5"/>
      <c r="E104" s="224"/>
      <c r="F104" s="5"/>
      <c r="G104" s="5"/>
      <c r="H104" s="5"/>
    </row>
    <row r="105" ht="15.75" customHeight="1">
      <c r="A105" s="187"/>
      <c r="B105" s="5"/>
      <c r="C105" s="5"/>
      <c r="D105" s="5"/>
      <c r="E105" s="224"/>
      <c r="F105" s="5"/>
      <c r="G105" s="5"/>
      <c r="H105" s="5"/>
    </row>
    <row r="106" ht="15.75" customHeight="1">
      <c r="A106" s="187"/>
      <c r="B106" s="5"/>
      <c r="C106" s="5"/>
      <c r="D106" s="5"/>
      <c r="E106" s="224"/>
      <c r="F106" s="5"/>
      <c r="G106" s="5"/>
      <c r="H106" s="5"/>
    </row>
    <row r="107" ht="15.75" customHeight="1">
      <c r="A107" s="187"/>
      <c r="B107" s="5"/>
      <c r="C107" s="5"/>
      <c r="D107" s="5"/>
      <c r="E107" s="224"/>
      <c r="F107" s="5"/>
      <c r="G107" s="5"/>
      <c r="H107" s="5"/>
    </row>
    <row r="108" ht="15.75" customHeight="1">
      <c r="A108" s="187"/>
      <c r="B108" s="5"/>
      <c r="C108" s="5"/>
      <c r="D108" s="5"/>
      <c r="E108" s="224"/>
      <c r="F108" s="5"/>
      <c r="G108" s="5"/>
      <c r="H108" s="5"/>
    </row>
    <row r="109" ht="15.75" customHeight="1">
      <c r="A109" s="187"/>
      <c r="B109" s="5"/>
      <c r="C109" s="5"/>
      <c r="D109" s="5"/>
      <c r="E109" s="224"/>
      <c r="F109" s="5"/>
      <c r="G109" s="5"/>
      <c r="H109" s="5"/>
    </row>
    <row r="110" ht="15.75" customHeight="1">
      <c r="A110" s="187"/>
      <c r="B110" s="5"/>
      <c r="C110" s="5"/>
      <c r="D110" s="5"/>
      <c r="E110" s="224"/>
      <c r="F110" s="5"/>
      <c r="G110" s="5"/>
      <c r="H110" s="5"/>
    </row>
    <row r="111" ht="15.75" customHeight="1">
      <c r="A111" s="187"/>
      <c r="B111" s="5"/>
      <c r="C111" s="5"/>
      <c r="D111" s="5"/>
      <c r="E111" s="224"/>
      <c r="F111" s="5"/>
      <c r="G111" s="5"/>
      <c r="H111" s="5"/>
    </row>
    <row r="112" ht="15.75" customHeight="1">
      <c r="A112" s="187"/>
      <c r="B112" s="5"/>
      <c r="C112" s="5"/>
      <c r="D112" s="5"/>
      <c r="E112" s="224"/>
      <c r="F112" s="5"/>
      <c r="G112" s="5"/>
      <c r="H112" s="5"/>
    </row>
    <row r="113" ht="15.75" customHeight="1">
      <c r="A113" s="187"/>
      <c r="B113" s="5"/>
      <c r="C113" s="5"/>
      <c r="D113" s="5"/>
      <c r="E113" s="224"/>
      <c r="F113" s="5"/>
      <c r="G113" s="5"/>
      <c r="H113" s="5"/>
    </row>
    <row r="114" ht="15.75" customHeight="1">
      <c r="A114" s="187"/>
      <c r="B114" s="5"/>
      <c r="C114" s="5"/>
      <c r="D114" s="5"/>
      <c r="E114" s="224"/>
      <c r="F114" s="5"/>
      <c r="G114" s="5"/>
      <c r="H114" s="5"/>
    </row>
    <row r="115" ht="15.75" customHeight="1">
      <c r="A115" s="187"/>
      <c r="B115" s="5"/>
      <c r="C115" s="5"/>
      <c r="D115" s="5"/>
      <c r="E115" s="224"/>
      <c r="F115" s="5"/>
      <c r="G115" s="5"/>
      <c r="H115" s="5"/>
    </row>
    <row r="116" ht="15.75" customHeight="1">
      <c r="A116" s="187"/>
      <c r="B116" s="5"/>
      <c r="C116" s="5"/>
      <c r="D116" s="5"/>
      <c r="E116" s="224"/>
      <c r="F116" s="5"/>
      <c r="G116" s="5"/>
      <c r="H116" s="5"/>
    </row>
    <row r="117" ht="15.75" customHeight="1">
      <c r="A117" s="187"/>
      <c r="B117" s="5"/>
      <c r="C117" s="5"/>
      <c r="D117" s="5"/>
      <c r="E117" s="224"/>
      <c r="F117" s="5"/>
      <c r="G117" s="5"/>
      <c r="H117" s="5"/>
    </row>
    <row r="118" ht="15.75" customHeight="1">
      <c r="A118" s="187"/>
      <c r="B118" s="5"/>
      <c r="C118" s="5"/>
      <c r="D118" s="5"/>
      <c r="E118" s="224"/>
      <c r="F118" s="5"/>
      <c r="G118" s="5"/>
      <c r="H118" s="5"/>
    </row>
    <row r="119" ht="15.75" customHeight="1">
      <c r="A119" s="187"/>
      <c r="B119" s="5"/>
      <c r="C119" s="5"/>
      <c r="D119" s="5"/>
      <c r="E119" s="224"/>
      <c r="F119" s="5"/>
      <c r="G119" s="5"/>
      <c r="H119" s="5"/>
    </row>
    <row r="120" ht="15.75" customHeight="1">
      <c r="A120" s="187"/>
      <c r="B120" s="5"/>
      <c r="C120" s="5"/>
      <c r="D120" s="5"/>
      <c r="E120" s="224"/>
      <c r="F120" s="5"/>
      <c r="G120" s="5"/>
      <c r="H120" s="5"/>
    </row>
    <row r="121" ht="15.75" customHeight="1">
      <c r="A121" s="187"/>
      <c r="B121" s="5"/>
      <c r="C121" s="5"/>
      <c r="D121" s="5"/>
      <c r="E121" s="224"/>
      <c r="F121" s="5"/>
      <c r="G121" s="5"/>
      <c r="H121" s="5"/>
    </row>
    <row r="122" ht="15.75" customHeight="1">
      <c r="A122" s="187"/>
      <c r="B122" s="5"/>
      <c r="C122" s="5"/>
      <c r="D122" s="5"/>
      <c r="E122" s="224"/>
      <c r="F122" s="5"/>
      <c r="G122" s="5"/>
      <c r="H122" s="5"/>
    </row>
    <row r="123" ht="15.75" customHeight="1">
      <c r="A123" s="187"/>
      <c r="B123" s="5"/>
      <c r="C123" s="5"/>
      <c r="D123" s="5"/>
      <c r="E123" s="224"/>
      <c r="F123" s="5"/>
      <c r="G123" s="5"/>
      <c r="H123" s="5"/>
    </row>
    <row r="124" ht="15.75" customHeight="1">
      <c r="A124" s="187"/>
      <c r="B124" s="5"/>
      <c r="C124" s="5"/>
      <c r="D124" s="5"/>
      <c r="E124" s="224"/>
      <c r="F124" s="5"/>
      <c r="G124" s="5"/>
      <c r="H124" s="5"/>
    </row>
    <row r="125" ht="15.75" customHeight="1">
      <c r="A125" s="187"/>
      <c r="B125" s="5"/>
      <c r="C125" s="5"/>
      <c r="D125" s="5"/>
      <c r="E125" s="224"/>
      <c r="F125" s="5"/>
      <c r="G125" s="5"/>
      <c r="H125" s="5"/>
    </row>
    <row r="126" ht="15.75" customHeight="1">
      <c r="A126" s="187"/>
      <c r="B126" s="5"/>
      <c r="C126" s="5"/>
      <c r="D126" s="5"/>
      <c r="E126" s="224"/>
      <c r="F126" s="5"/>
      <c r="G126" s="5"/>
      <c r="H126" s="5"/>
    </row>
    <row r="127" ht="15.75" customHeight="1">
      <c r="A127" s="187"/>
      <c r="B127" s="5"/>
      <c r="C127" s="5"/>
      <c r="D127" s="5"/>
      <c r="E127" s="224"/>
      <c r="F127" s="5"/>
      <c r="G127" s="5"/>
      <c r="H127" s="5"/>
    </row>
    <row r="128" ht="15.75" customHeight="1">
      <c r="A128" s="187"/>
      <c r="B128" s="5"/>
      <c r="C128" s="5"/>
      <c r="D128" s="5"/>
      <c r="E128" s="224"/>
      <c r="F128" s="5"/>
      <c r="G128" s="5"/>
      <c r="H128" s="5"/>
    </row>
    <row r="129" ht="15.75" customHeight="1">
      <c r="A129" s="187"/>
      <c r="B129" s="5"/>
      <c r="C129" s="5"/>
      <c r="D129" s="5"/>
      <c r="E129" s="224"/>
      <c r="F129" s="5"/>
      <c r="G129" s="5"/>
      <c r="H129" s="5"/>
    </row>
    <row r="130" ht="15.75" customHeight="1">
      <c r="A130" s="187"/>
      <c r="B130" s="5"/>
      <c r="C130" s="5"/>
      <c r="D130" s="5"/>
      <c r="E130" s="224"/>
      <c r="F130" s="5"/>
      <c r="G130" s="5"/>
      <c r="H130" s="5"/>
    </row>
    <row r="131" ht="15.75" customHeight="1">
      <c r="A131" s="187"/>
      <c r="B131" s="5"/>
      <c r="C131" s="5"/>
      <c r="D131" s="5"/>
      <c r="E131" s="224"/>
      <c r="F131" s="5"/>
      <c r="G131" s="5"/>
      <c r="H131" s="5"/>
    </row>
    <row r="132" ht="15.75" customHeight="1">
      <c r="A132" s="187"/>
      <c r="B132" s="5"/>
      <c r="C132" s="5"/>
      <c r="D132" s="5"/>
      <c r="E132" s="224"/>
      <c r="F132" s="5"/>
      <c r="G132" s="5"/>
      <c r="H132" s="5"/>
    </row>
    <row r="133" ht="15.75" customHeight="1">
      <c r="A133" s="187"/>
      <c r="B133" s="5"/>
      <c r="C133" s="5"/>
      <c r="D133" s="5"/>
      <c r="E133" s="224"/>
      <c r="F133" s="5"/>
      <c r="G133" s="5"/>
      <c r="H133" s="5"/>
    </row>
    <row r="134" ht="15.75" customHeight="1">
      <c r="A134" s="187"/>
      <c r="B134" s="5"/>
      <c r="C134" s="5"/>
      <c r="D134" s="5"/>
      <c r="E134" s="224"/>
      <c r="F134" s="5"/>
      <c r="G134" s="5"/>
      <c r="H134" s="5"/>
    </row>
    <row r="135" ht="15.75" customHeight="1">
      <c r="A135" s="187"/>
      <c r="B135" s="5"/>
      <c r="C135" s="5"/>
      <c r="D135" s="5"/>
      <c r="E135" s="224"/>
      <c r="F135" s="5"/>
      <c r="G135" s="5"/>
      <c r="H135" s="5"/>
    </row>
    <row r="136" ht="15.75" customHeight="1">
      <c r="A136" s="187"/>
      <c r="B136" s="5"/>
      <c r="C136" s="5"/>
      <c r="D136" s="5"/>
      <c r="E136" s="224"/>
      <c r="F136" s="5"/>
      <c r="G136" s="5"/>
      <c r="H136" s="5"/>
    </row>
    <row r="137" ht="15.75" customHeight="1">
      <c r="A137" s="187"/>
      <c r="B137" s="5"/>
      <c r="C137" s="5"/>
      <c r="D137" s="5"/>
      <c r="E137" s="224"/>
      <c r="F137" s="5"/>
      <c r="G137" s="5"/>
      <c r="H137" s="5"/>
    </row>
    <row r="138" ht="15.75" customHeight="1">
      <c r="A138" s="187"/>
      <c r="B138" s="5"/>
      <c r="C138" s="5"/>
      <c r="D138" s="5"/>
      <c r="E138" s="224"/>
      <c r="F138" s="5"/>
      <c r="G138" s="5"/>
      <c r="H138" s="5"/>
    </row>
    <row r="139" ht="15.75" customHeight="1">
      <c r="A139" s="187"/>
      <c r="B139" s="5"/>
      <c r="C139" s="5"/>
      <c r="D139" s="5"/>
      <c r="E139" s="224"/>
      <c r="F139" s="5"/>
      <c r="G139" s="5"/>
      <c r="H139" s="5"/>
    </row>
    <row r="140" ht="15.75" customHeight="1">
      <c r="A140" s="187"/>
      <c r="B140" s="5"/>
      <c r="C140" s="5"/>
      <c r="D140" s="5"/>
      <c r="E140" s="224"/>
      <c r="F140" s="5"/>
      <c r="G140" s="5"/>
      <c r="H140" s="5"/>
    </row>
    <row r="141" ht="15.75" customHeight="1">
      <c r="A141" s="187"/>
      <c r="B141" s="5"/>
      <c r="C141" s="5"/>
      <c r="D141" s="5"/>
      <c r="E141" s="224"/>
      <c r="F141" s="5"/>
      <c r="G141" s="5"/>
      <c r="H141" s="5"/>
    </row>
    <row r="142" ht="15.75" customHeight="1">
      <c r="A142" s="187"/>
      <c r="B142" s="5"/>
      <c r="C142" s="5"/>
      <c r="D142" s="5"/>
      <c r="E142" s="224"/>
      <c r="F142" s="5"/>
      <c r="G142" s="5"/>
      <c r="H142" s="5"/>
    </row>
    <row r="143" ht="15.75" customHeight="1">
      <c r="A143" s="187"/>
      <c r="B143" s="5"/>
      <c r="C143" s="5"/>
      <c r="D143" s="5"/>
      <c r="E143" s="224"/>
      <c r="F143" s="5"/>
      <c r="G143" s="5"/>
      <c r="H143" s="5"/>
    </row>
    <row r="144" ht="15.75" customHeight="1">
      <c r="A144" s="187"/>
      <c r="B144" s="5"/>
      <c r="C144" s="5"/>
      <c r="D144" s="5"/>
      <c r="E144" s="224"/>
      <c r="F144" s="5"/>
      <c r="G144" s="5"/>
      <c r="H144" s="5"/>
    </row>
    <row r="145" ht="15.75" customHeight="1">
      <c r="A145" s="187"/>
      <c r="B145" s="5"/>
      <c r="C145" s="5"/>
      <c r="D145" s="5"/>
      <c r="E145" s="224"/>
      <c r="F145" s="5"/>
      <c r="G145" s="5"/>
      <c r="H145" s="5"/>
    </row>
    <row r="146" ht="15.75" customHeight="1">
      <c r="A146" s="187"/>
      <c r="B146" s="5"/>
      <c r="C146" s="5"/>
      <c r="D146" s="5"/>
      <c r="E146" s="224"/>
      <c r="F146" s="5"/>
      <c r="G146" s="5"/>
      <c r="H146" s="5"/>
    </row>
    <row r="147" ht="15.75" customHeight="1">
      <c r="A147" s="187"/>
      <c r="B147" s="5"/>
      <c r="C147" s="5"/>
      <c r="D147" s="5"/>
      <c r="E147" s="224"/>
      <c r="F147" s="5"/>
      <c r="G147" s="5"/>
      <c r="H147" s="5"/>
    </row>
    <row r="148" ht="15.75" customHeight="1">
      <c r="A148" s="187"/>
      <c r="B148" s="5"/>
      <c r="C148" s="5"/>
      <c r="D148" s="5"/>
      <c r="E148" s="224"/>
      <c r="F148" s="5"/>
      <c r="G148" s="5"/>
      <c r="H148" s="5"/>
    </row>
    <row r="149" ht="15.75" customHeight="1">
      <c r="A149" s="187"/>
      <c r="B149" s="5"/>
      <c r="C149" s="5"/>
      <c r="D149" s="5"/>
      <c r="E149" s="224"/>
      <c r="F149" s="5"/>
      <c r="G149" s="5"/>
      <c r="H149" s="5"/>
    </row>
    <row r="150" ht="15.75" customHeight="1">
      <c r="A150" s="187"/>
      <c r="B150" s="5"/>
      <c r="C150" s="5"/>
      <c r="D150" s="5"/>
      <c r="E150" s="224"/>
      <c r="F150" s="5"/>
      <c r="G150" s="5"/>
      <c r="H150" s="5"/>
    </row>
    <row r="151" ht="15.75" customHeight="1">
      <c r="A151" s="187"/>
      <c r="B151" s="5"/>
      <c r="C151" s="5"/>
      <c r="D151" s="5"/>
      <c r="E151" s="224"/>
      <c r="F151" s="5"/>
      <c r="G151" s="5"/>
      <c r="H151" s="5"/>
    </row>
    <row r="152" ht="15.75" customHeight="1">
      <c r="A152" s="187"/>
      <c r="B152" s="5"/>
      <c r="C152" s="5"/>
      <c r="D152" s="5"/>
      <c r="E152" s="224"/>
      <c r="F152" s="5"/>
      <c r="G152" s="5"/>
      <c r="H152" s="5"/>
    </row>
    <row r="153" ht="15.75" customHeight="1">
      <c r="A153" s="187"/>
      <c r="B153" s="5"/>
      <c r="C153" s="5"/>
      <c r="D153" s="5"/>
      <c r="E153" s="224"/>
      <c r="F153" s="5"/>
      <c r="G153" s="5"/>
      <c r="H153" s="5"/>
    </row>
    <row r="154" ht="15.75" customHeight="1">
      <c r="A154" s="187"/>
      <c r="B154" s="5"/>
      <c r="C154" s="5"/>
      <c r="D154" s="5"/>
      <c r="E154" s="224"/>
      <c r="F154" s="5"/>
      <c r="G154" s="5"/>
      <c r="H154" s="5"/>
    </row>
    <row r="155" ht="15.75" customHeight="1">
      <c r="A155" s="187"/>
      <c r="B155" s="5"/>
      <c r="C155" s="5"/>
      <c r="D155" s="5"/>
      <c r="E155" s="224"/>
      <c r="F155" s="5"/>
      <c r="G155" s="5"/>
      <c r="H155" s="5"/>
    </row>
    <row r="156" ht="15.75" customHeight="1">
      <c r="A156" s="187"/>
      <c r="B156" s="5"/>
      <c r="C156" s="5"/>
      <c r="D156" s="5"/>
      <c r="E156" s="224"/>
      <c r="F156" s="5"/>
      <c r="G156" s="5"/>
      <c r="H156" s="5"/>
    </row>
    <row r="157" ht="15.75" customHeight="1">
      <c r="A157" s="187"/>
      <c r="B157" s="5"/>
      <c r="C157" s="5"/>
      <c r="D157" s="5"/>
      <c r="E157" s="224"/>
      <c r="F157" s="5"/>
      <c r="G157" s="5"/>
      <c r="H157" s="5"/>
    </row>
    <row r="158" ht="15.75" customHeight="1">
      <c r="A158" s="187"/>
      <c r="B158" s="5"/>
      <c r="C158" s="5"/>
      <c r="D158" s="5"/>
      <c r="E158" s="224"/>
      <c r="F158" s="5"/>
      <c r="G158" s="5"/>
      <c r="H158" s="5"/>
    </row>
    <row r="159" ht="15.75" customHeight="1">
      <c r="A159" s="187"/>
      <c r="B159" s="5"/>
      <c r="C159" s="5"/>
      <c r="D159" s="5"/>
      <c r="E159" s="224"/>
      <c r="F159" s="5"/>
      <c r="G159" s="5"/>
      <c r="H159" s="5"/>
    </row>
    <row r="160" ht="15.75" customHeight="1">
      <c r="A160" s="187"/>
      <c r="B160" s="5"/>
      <c r="C160" s="5"/>
      <c r="D160" s="5"/>
      <c r="E160" s="224"/>
      <c r="F160" s="5"/>
      <c r="G160" s="5"/>
      <c r="H160" s="5"/>
    </row>
    <row r="161" ht="15.75" customHeight="1">
      <c r="A161" s="187"/>
      <c r="B161" s="5"/>
      <c r="C161" s="5"/>
      <c r="D161" s="5"/>
      <c r="E161" s="224"/>
      <c r="F161" s="5"/>
      <c r="G161" s="5"/>
      <c r="H161" s="5"/>
    </row>
    <row r="162" ht="15.75" customHeight="1">
      <c r="A162" s="187"/>
      <c r="B162" s="5"/>
      <c r="C162" s="5"/>
      <c r="D162" s="5"/>
      <c r="E162" s="224"/>
      <c r="F162" s="5"/>
      <c r="G162" s="5"/>
      <c r="H162" s="5"/>
    </row>
    <row r="163" ht="15.75" customHeight="1">
      <c r="A163" s="187"/>
      <c r="B163" s="5"/>
      <c r="C163" s="5"/>
      <c r="D163" s="5"/>
      <c r="E163" s="224"/>
      <c r="F163" s="5"/>
      <c r="G163" s="5"/>
      <c r="H163" s="5"/>
    </row>
    <row r="164" ht="15.75" customHeight="1">
      <c r="A164" s="187"/>
      <c r="B164" s="5"/>
      <c r="C164" s="5"/>
      <c r="D164" s="5"/>
      <c r="E164" s="224"/>
      <c r="F164" s="5"/>
      <c r="G164" s="5"/>
      <c r="H164" s="5"/>
    </row>
    <row r="165" ht="15.75" customHeight="1">
      <c r="A165" s="187"/>
      <c r="B165" s="5"/>
      <c r="C165" s="5"/>
      <c r="D165" s="5"/>
      <c r="E165" s="224"/>
      <c r="F165" s="5"/>
      <c r="G165" s="5"/>
      <c r="H165" s="5"/>
    </row>
    <row r="166" ht="15.75" customHeight="1">
      <c r="A166" s="187"/>
      <c r="B166" s="5"/>
      <c r="C166" s="5"/>
      <c r="D166" s="5"/>
      <c r="E166" s="224"/>
      <c r="F166" s="5"/>
      <c r="G166" s="5"/>
      <c r="H166" s="5"/>
    </row>
    <row r="167" ht="15.75" customHeight="1">
      <c r="A167" s="187"/>
      <c r="B167" s="5"/>
      <c r="C167" s="5"/>
      <c r="D167" s="5"/>
      <c r="E167" s="224"/>
      <c r="F167" s="5"/>
      <c r="G167" s="5"/>
      <c r="H167" s="5"/>
    </row>
    <row r="168" ht="15.75" customHeight="1">
      <c r="A168" s="187"/>
      <c r="B168" s="5"/>
      <c r="C168" s="5"/>
      <c r="D168" s="5"/>
      <c r="E168" s="224"/>
      <c r="F168" s="5"/>
      <c r="G168" s="5"/>
      <c r="H168" s="5"/>
    </row>
    <row r="169" ht="15.75" customHeight="1">
      <c r="A169" s="187"/>
      <c r="B169" s="5"/>
      <c r="C169" s="5"/>
      <c r="D169" s="5"/>
      <c r="E169" s="224"/>
      <c r="F169" s="5"/>
      <c r="G169" s="5"/>
      <c r="H169" s="5"/>
    </row>
    <row r="170" ht="15.75" customHeight="1">
      <c r="A170" s="187"/>
      <c r="B170" s="5"/>
      <c r="C170" s="5"/>
      <c r="D170" s="5"/>
      <c r="E170" s="224"/>
      <c r="F170" s="5"/>
      <c r="G170" s="5"/>
      <c r="H170" s="5"/>
    </row>
    <row r="171" ht="15.75" customHeight="1">
      <c r="A171" s="187"/>
      <c r="B171" s="5"/>
      <c r="C171" s="5"/>
      <c r="D171" s="5"/>
      <c r="E171" s="224"/>
      <c r="F171" s="5"/>
      <c r="G171" s="5"/>
      <c r="H171" s="5"/>
    </row>
    <row r="172" ht="15.75" customHeight="1">
      <c r="A172" s="187"/>
      <c r="B172" s="5"/>
      <c r="C172" s="5"/>
      <c r="D172" s="5"/>
      <c r="E172" s="224"/>
      <c r="F172" s="5"/>
      <c r="G172" s="5"/>
      <c r="H172" s="5"/>
    </row>
    <row r="173" ht="15.75" customHeight="1">
      <c r="A173" s="187"/>
      <c r="B173" s="5"/>
      <c r="C173" s="5"/>
      <c r="D173" s="5"/>
      <c r="E173" s="224"/>
      <c r="F173" s="5"/>
      <c r="G173" s="5"/>
      <c r="H173" s="5"/>
    </row>
    <row r="174" ht="15.75" customHeight="1">
      <c r="A174" s="187"/>
      <c r="B174" s="5"/>
      <c r="C174" s="5"/>
      <c r="D174" s="5"/>
      <c r="E174" s="224"/>
      <c r="F174" s="5"/>
      <c r="G174" s="5"/>
      <c r="H174" s="5"/>
    </row>
    <row r="175" ht="15.75" customHeight="1">
      <c r="A175" s="187"/>
      <c r="B175" s="5"/>
      <c r="C175" s="5"/>
      <c r="D175" s="5"/>
      <c r="E175" s="224"/>
      <c r="F175" s="5"/>
      <c r="G175" s="5"/>
      <c r="H175" s="5"/>
    </row>
    <row r="176" ht="15.75" customHeight="1">
      <c r="A176" s="187"/>
      <c r="B176" s="5"/>
      <c r="C176" s="5"/>
      <c r="D176" s="5"/>
      <c r="E176" s="224"/>
      <c r="F176" s="5"/>
      <c r="G176" s="5"/>
      <c r="H176" s="5"/>
    </row>
    <row r="177" ht="15.75" customHeight="1">
      <c r="A177" s="187"/>
      <c r="B177" s="5"/>
      <c r="C177" s="5"/>
      <c r="D177" s="5"/>
      <c r="E177" s="224"/>
      <c r="F177" s="5"/>
      <c r="G177" s="5"/>
      <c r="H177" s="5"/>
    </row>
    <row r="178" ht="15.75" customHeight="1">
      <c r="A178" s="187"/>
      <c r="B178" s="5"/>
      <c r="C178" s="5"/>
      <c r="D178" s="5"/>
      <c r="E178" s="224"/>
      <c r="F178" s="5"/>
      <c r="G178" s="5"/>
      <c r="H178" s="5"/>
    </row>
    <row r="179" ht="15.75" customHeight="1">
      <c r="A179" s="187"/>
      <c r="B179" s="5"/>
      <c r="C179" s="5"/>
      <c r="D179" s="5"/>
      <c r="E179" s="224"/>
      <c r="F179" s="5"/>
      <c r="G179" s="5"/>
      <c r="H179" s="5"/>
    </row>
    <row r="180" ht="15.75" customHeight="1">
      <c r="A180" s="187"/>
      <c r="B180" s="5"/>
      <c r="C180" s="5"/>
      <c r="D180" s="5"/>
      <c r="E180" s="224"/>
      <c r="F180" s="5"/>
      <c r="G180" s="5"/>
      <c r="H180" s="5"/>
    </row>
    <row r="181" ht="15.75" customHeight="1">
      <c r="A181" s="187"/>
      <c r="B181" s="5"/>
      <c r="C181" s="5"/>
      <c r="D181" s="5"/>
      <c r="E181" s="224"/>
      <c r="F181" s="5"/>
      <c r="G181" s="5"/>
      <c r="H181" s="5"/>
    </row>
    <row r="182" ht="15.75" customHeight="1">
      <c r="A182" s="187"/>
      <c r="B182" s="5"/>
      <c r="C182" s="5"/>
      <c r="D182" s="5"/>
      <c r="E182" s="224"/>
      <c r="F182" s="5"/>
      <c r="G182" s="5"/>
      <c r="H182" s="5"/>
    </row>
    <row r="183" ht="15.75" customHeight="1">
      <c r="A183" s="187"/>
      <c r="B183" s="5"/>
      <c r="C183" s="5"/>
      <c r="D183" s="5"/>
      <c r="E183" s="224"/>
      <c r="F183" s="5"/>
      <c r="G183" s="5"/>
      <c r="H183" s="5"/>
    </row>
    <row r="184" ht="15.75" customHeight="1">
      <c r="A184" s="187"/>
      <c r="B184" s="5"/>
      <c r="C184" s="5"/>
      <c r="D184" s="5"/>
      <c r="E184" s="224"/>
      <c r="F184" s="5"/>
      <c r="G184" s="5"/>
      <c r="H184" s="5"/>
    </row>
    <row r="185" ht="15.75" customHeight="1">
      <c r="A185" s="187"/>
      <c r="B185" s="5"/>
      <c r="C185" s="5"/>
      <c r="D185" s="5"/>
      <c r="E185" s="224"/>
      <c r="F185" s="5"/>
      <c r="G185" s="5"/>
      <c r="H185" s="5"/>
    </row>
    <row r="186" ht="15.75" customHeight="1">
      <c r="A186" s="187"/>
      <c r="B186" s="5"/>
      <c r="C186" s="5"/>
      <c r="D186" s="5"/>
      <c r="E186" s="224"/>
      <c r="F186" s="5"/>
      <c r="G186" s="5"/>
      <c r="H186" s="5"/>
    </row>
    <row r="187" ht="15.75" customHeight="1">
      <c r="A187" s="187"/>
      <c r="B187" s="5"/>
      <c r="C187" s="5"/>
      <c r="D187" s="5"/>
      <c r="E187" s="224"/>
      <c r="F187" s="5"/>
      <c r="G187" s="5"/>
      <c r="H187" s="5"/>
    </row>
    <row r="188" ht="15.75" customHeight="1">
      <c r="A188" s="187"/>
      <c r="B188" s="5"/>
      <c r="C188" s="5"/>
      <c r="D188" s="5"/>
      <c r="E188" s="224"/>
      <c r="F188" s="5"/>
      <c r="G188" s="5"/>
      <c r="H188" s="5"/>
    </row>
    <row r="189" ht="15.75" customHeight="1">
      <c r="A189" s="187"/>
      <c r="B189" s="5"/>
      <c r="C189" s="5"/>
      <c r="D189" s="5"/>
      <c r="E189" s="224"/>
      <c r="F189" s="5"/>
      <c r="G189" s="5"/>
      <c r="H189" s="5"/>
    </row>
    <row r="190" ht="15.75" customHeight="1">
      <c r="A190" s="187"/>
      <c r="B190" s="5"/>
      <c r="C190" s="5"/>
      <c r="D190" s="5"/>
      <c r="E190" s="224"/>
      <c r="F190" s="5"/>
      <c r="G190" s="5"/>
      <c r="H190" s="5"/>
    </row>
    <row r="191" ht="15.75" customHeight="1">
      <c r="A191" s="187"/>
      <c r="B191" s="5"/>
      <c r="C191" s="5"/>
      <c r="D191" s="5"/>
      <c r="E191" s="224"/>
      <c r="F191" s="5"/>
      <c r="G191" s="5"/>
      <c r="H191" s="5"/>
    </row>
    <row r="192" ht="15.75" customHeight="1">
      <c r="A192" s="187"/>
      <c r="B192" s="5"/>
      <c r="C192" s="5"/>
      <c r="D192" s="5"/>
      <c r="E192" s="224"/>
      <c r="F192" s="5"/>
      <c r="G192" s="5"/>
      <c r="H192" s="5"/>
    </row>
    <row r="193" ht="15.75" customHeight="1">
      <c r="A193" s="187"/>
      <c r="B193" s="5"/>
      <c r="C193" s="5"/>
      <c r="D193" s="5"/>
      <c r="E193" s="224"/>
      <c r="F193" s="5"/>
      <c r="G193" s="5"/>
      <c r="H193" s="5"/>
    </row>
    <row r="194" ht="15.75" customHeight="1">
      <c r="A194" s="187"/>
      <c r="B194" s="5"/>
      <c r="C194" s="5"/>
      <c r="D194" s="5"/>
      <c r="E194" s="224"/>
      <c r="F194" s="5"/>
      <c r="G194" s="5"/>
      <c r="H194" s="5"/>
    </row>
    <row r="195" ht="15.75" customHeight="1">
      <c r="A195" s="187"/>
      <c r="B195" s="5"/>
      <c r="C195" s="5"/>
      <c r="D195" s="5"/>
      <c r="E195" s="224"/>
      <c r="F195" s="5"/>
      <c r="G195" s="5"/>
      <c r="H195" s="5"/>
    </row>
    <row r="196" ht="15.75" customHeight="1">
      <c r="A196" s="187"/>
      <c r="B196" s="5"/>
      <c r="C196" s="5"/>
      <c r="D196" s="5"/>
      <c r="E196" s="224"/>
      <c r="F196" s="5"/>
      <c r="G196" s="5"/>
      <c r="H196" s="5"/>
    </row>
    <row r="197" ht="15.75" customHeight="1">
      <c r="A197" s="187"/>
      <c r="B197" s="5"/>
      <c r="C197" s="5"/>
      <c r="D197" s="5"/>
      <c r="E197" s="224"/>
      <c r="F197" s="5"/>
      <c r="G197" s="5"/>
      <c r="H197" s="5"/>
    </row>
    <row r="198" ht="15.75" customHeight="1">
      <c r="A198" s="187"/>
      <c r="B198" s="5"/>
      <c r="C198" s="5"/>
      <c r="D198" s="5"/>
      <c r="E198" s="224"/>
      <c r="F198" s="5"/>
      <c r="G198" s="5"/>
      <c r="H198" s="5"/>
    </row>
    <row r="199" ht="15.75" customHeight="1">
      <c r="A199" s="187"/>
      <c r="B199" s="5"/>
      <c r="C199" s="5"/>
      <c r="D199" s="5"/>
      <c r="E199" s="224"/>
      <c r="F199" s="5"/>
      <c r="G199" s="5"/>
      <c r="H199" s="5"/>
    </row>
    <row r="200" ht="15.75" customHeight="1">
      <c r="A200" s="187"/>
      <c r="B200" s="5"/>
      <c r="C200" s="5"/>
      <c r="D200" s="5"/>
      <c r="E200" s="224"/>
      <c r="F200" s="5"/>
      <c r="G200" s="5"/>
      <c r="H200" s="5"/>
    </row>
    <row r="201" ht="15.75" customHeight="1">
      <c r="A201" s="187"/>
      <c r="B201" s="5"/>
      <c r="C201" s="5"/>
      <c r="D201" s="5"/>
      <c r="E201" s="224"/>
      <c r="F201" s="5"/>
      <c r="G201" s="5"/>
      <c r="H201" s="5"/>
    </row>
    <row r="202" ht="15.75" customHeight="1">
      <c r="A202" s="187"/>
      <c r="B202" s="5"/>
      <c r="C202" s="5"/>
      <c r="D202" s="5"/>
      <c r="E202" s="224"/>
      <c r="F202" s="5"/>
      <c r="G202" s="5"/>
      <c r="H202" s="5"/>
    </row>
    <row r="203" ht="15.75" customHeight="1">
      <c r="A203" s="187"/>
      <c r="B203" s="5"/>
      <c r="C203" s="5"/>
      <c r="D203" s="5"/>
      <c r="E203" s="224"/>
      <c r="F203" s="5"/>
      <c r="G203" s="5"/>
      <c r="H203" s="5"/>
    </row>
    <row r="204" ht="15.75" customHeight="1">
      <c r="A204" s="187"/>
      <c r="B204" s="5"/>
      <c r="C204" s="5"/>
      <c r="D204" s="5"/>
      <c r="E204" s="224"/>
      <c r="F204" s="5"/>
      <c r="G204" s="5"/>
      <c r="H204" s="5"/>
    </row>
    <row r="205" ht="15.75" customHeight="1">
      <c r="A205" s="187"/>
      <c r="B205" s="5"/>
      <c r="C205" s="5"/>
      <c r="D205" s="5"/>
      <c r="E205" s="224"/>
      <c r="F205" s="5"/>
      <c r="G205" s="5"/>
      <c r="H205" s="5"/>
    </row>
    <row r="206" ht="15.75" customHeight="1">
      <c r="A206" s="187"/>
      <c r="B206" s="5"/>
      <c r="C206" s="5"/>
      <c r="D206" s="5"/>
      <c r="E206" s="224"/>
      <c r="F206" s="5"/>
      <c r="G206" s="5"/>
      <c r="H206" s="5"/>
    </row>
    <row r="207" ht="15.75" customHeight="1">
      <c r="A207" s="187"/>
      <c r="B207" s="5"/>
      <c r="C207" s="5"/>
      <c r="D207" s="5"/>
      <c r="E207" s="224"/>
      <c r="F207" s="5"/>
      <c r="G207" s="5"/>
      <c r="H207" s="5"/>
    </row>
    <row r="208" ht="15.75" customHeight="1">
      <c r="A208" s="187"/>
      <c r="B208" s="5"/>
      <c r="C208" s="5"/>
      <c r="D208" s="5"/>
      <c r="E208" s="224"/>
      <c r="F208" s="5"/>
      <c r="G208" s="5"/>
      <c r="H208" s="5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</sheetData>
  <mergeCells count="3">
    <mergeCell ref="A1:J1"/>
    <mergeCell ref="A8:E8"/>
    <mergeCell ref="A2:H2"/>
  </mergeCells>
  <dataValidations>
    <dataValidation type="list" allowBlank="1" showErrorMessage="1" sqref="B4:B7 I4:I7">
      <formula1>"Team Member 1,Team Member 2,Team Member 3,Team Member 4,Team Member 5,Team Member 6,Team Member 7,Team Member 8"</formula1>
    </dataValidation>
    <dataValidation type="custom" allowBlank="1" showDropDown="1" sqref="A4:A7">
      <formula1>OR(NOT(ISERROR(DATEVALUE(A4))), AND(ISNUMBER(A4), LEFT(CELL("format", A4))="D"))</formula1>
    </dataValidation>
    <dataValidation type="list" allowBlank="1" showErrorMessage="1" sqref="C4:C7">
      <formula1>"Language Analyst,Language Analyst - Lead,Project Manager,Project Manager - Lead,Terminologist - Lead,Terminologist,Engineer - Lead,Engineer"</formula1>
    </dataValidation>
    <dataValidation type="list" allowBlank="1" showErrorMessage="1" sqref="D4:D7">
      <formula1>"Review,Light PE (.html),Full PE (.po),Translation"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4.0"/>
    <col customWidth="1" min="4" max="4" width="23.71"/>
    <col customWidth="1" min="5" max="5" width="22.0"/>
    <col customWidth="1" min="6" max="6" width="46.14"/>
    <col customWidth="1" min="7" max="22" width="8.71"/>
  </cols>
  <sheetData>
    <row r="1" ht="25.5" customHeight="1">
      <c r="A1" s="189" t="s">
        <v>177</v>
      </c>
      <c r="B1" s="2"/>
      <c r="C1" s="2"/>
      <c r="D1" s="2"/>
      <c r="E1" s="2"/>
      <c r="F1" s="3"/>
    </row>
    <row r="2" ht="15.75" customHeight="1">
      <c r="A2" s="225" t="s">
        <v>178</v>
      </c>
      <c r="B2" s="2"/>
      <c r="C2" s="2"/>
      <c r="D2" s="2"/>
      <c r="E2" s="2"/>
      <c r="F2" s="3"/>
    </row>
    <row r="3" ht="19.5" customHeight="1">
      <c r="A3" s="191" t="s">
        <v>166</v>
      </c>
      <c r="B3" s="226" t="s">
        <v>2</v>
      </c>
      <c r="C3" s="226" t="s">
        <v>3</v>
      </c>
      <c r="D3" s="192" t="s">
        <v>179</v>
      </c>
      <c r="E3" s="192" t="s">
        <v>180</v>
      </c>
      <c r="F3" s="124" t="s">
        <v>84</v>
      </c>
    </row>
    <row r="4" ht="15.0" customHeight="1">
      <c r="A4" s="211">
        <v>46176.0</v>
      </c>
      <c r="B4" s="204" t="s">
        <v>26</v>
      </c>
      <c r="C4" s="204" t="s">
        <v>181</v>
      </c>
      <c r="D4" s="212">
        <v>1.0</v>
      </c>
      <c r="E4" s="212" t="s">
        <v>182</v>
      </c>
      <c r="F4" s="212"/>
    </row>
    <row r="5" ht="15.0" customHeight="1">
      <c r="A5" s="193">
        <v>46176.0</v>
      </c>
      <c r="B5" s="194" t="s">
        <v>29</v>
      </c>
      <c r="C5" s="195" t="s">
        <v>183</v>
      </c>
      <c r="D5" s="195">
        <v>2.0</v>
      </c>
      <c r="E5" s="194" t="s">
        <v>184</v>
      </c>
      <c r="F5" s="195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</sheetData>
  <mergeCells count="2">
    <mergeCell ref="A1:F1"/>
    <mergeCell ref="A2:F2"/>
  </mergeCells>
  <dataValidations>
    <dataValidation type="list" allowBlank="1" showErrorMessage="1" sqref="C4:C5">
      <formula1>"Tester,Tester - Lead,Terminologist,Terminologist - Lead"</formula1>
    </dataValidation>
    <dataValidation type="list" allowBlank="1" showErrorMessage="1" sqref="B4:B5">
      <formula1>"Team Member 1,Team Member 2,Team Member 3,Team Member 4,Team Member 5,Team Member 6,Team Member 7,Team Member 8"</formula1>
    </dataValidation>
    <dataValidation type="list" allowBlank="1" showErrorMessage="1" sqref="E4:E5">
      <formula1>"Success,Fail"</formula1>
    </dataValidation>
    <dataValidation type="custom" allowBlank="1" showDropDown="1" sqref="A4:A5">
      <formula1>OR(NOT(ISERROR(DATEVALUE(A4))), AND(ISNUMBER(A4), LEFT(CELL("format", A4))="D"))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5.29"/>
    <col customWidth="1" min="3" max="3" width="24.0"/>
    <col customWidth="1" min="4" max="4" width="22.0"/>
    <col customWidth="1" min="5" max="5" width="40.0"/>
    <col customWidth="1" min="6" max="6" width="8.43"/>
    <col customWidth="1" hidden="1" min="7" max="7" width="8.29"/>
    <col customWidth="1" min="8" max="8" width="8.14"/>
    <col customWidth="1" min="9" max="9" width="54.43"/>
    <col customWidth="1" min="10" max="26" width="8.71"/>
  </cols>
  <sheetData>
    <row r="1" ht="25.5" customHeight="1">
      <c r="A1" s="227" t="s">
        <v>185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228" t="s">
        <v>186</v>
      </c>
      <c r="B2" s="2"/>
      <c r="C2" s="2"/>
      <c r="D2" s="2"/>
      <c r="E2" s="2"/>
      <c r="F2" s="2"/>
      <c r="G2" s="2"/>
      <c r="H2" s="2"/>
      <c r="I2" s="3"/>
    </row>
    <row r="3" ht="15.0" customHeight="1">
      <c r="A3" s="229" t="s">
        <v>166</v>
      </c>
      <c r="B3" s="230" t="s">
        <v>2</v>
      </c>
      <c r="C3" s="230" t="s">
        <v>3</v>
      </c>
      <c r="D3" s="230" t="s">
        <v>187</v>
      </c>
      <c r="E3" s="230" t="s">
        <v>188</v>
      </c>
      <c r="F3" s="230" t="s">
        <v>189</v>
      </c>
      <c r="G3" s="230" t="s">
        <v>84</v>
      </c>
      <c r="H3" s="230" t="s">
        <v>190</v>
      </c>
      <c r="I3" s="230" t="s">
        <v>191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1.0" customHeight="1">
      <c r="A4" s="231">
        <v>46143.0</v>
      </c>
      <c r="B4" s="232" t="s">
        <v>19</v>
      </c>
      <c r="C4" s="233" t="s">
        <v>20</v>
      </c>
      <c r="D4" s="233" t="s">
        <v>192</v>
      </c>
      <c r="E4" s="234"/>
      <c r="F4" s="232" t="s">
        <v>193</v>
      </c>
      <c r="G4" s="235">
        <f t="shared" ref="G4:G5" si="1">IFERROR(IF(AND(ISNUMBER(SEARCH("h",F4)),ISNUMBER(SEARCH("m",F4))),VALUE(LEFT(F4,SEARCH("h",F4)-1))+VALUE(MID(F4,SEARCH("h",F4)+1,SEARCH("m",F4)-SEARCH("h",F4)-1))/60,IF(ISNUMBER(SEARCH("h",F4)),VALUE(LEFT(F4,SEARCH("h",F4)-1)),IF(ISNUMBER(SEARCH("m",F4)),VALUE(LEFT(F4,SEARCH("m",F4)-1))/60,VALUE(F4)))),0)</f>
        <v>1</v>
      </c>
      <c r="H4" s="236">
        <f>IF(F4&lt;&gt;"",G4*RATE_HOURLY,"")</f>
        <v>20</v>
      </c>
      <c r="I4" s="233"/>
    </row>
    <row r="5" ht="22.5" customHeight="1">
      <c r="A5" s="237">
        <v>46143.0</v>
      </c>
      <c r="B5" s="238" t="s">
        <v>22</v>
      </c>
      <c r="C5" s="239" t="s">
        <v>23</v>
      </c>
      <c r="D5" s="239" t="s">
        <v>192</v>
      </c>
      <c r="E5" s="240"/>
      <c r="F5" s="238" t="s">
        <v>193</v>
      </c>
      <c r="G5" s="241">
        <f t="shared" si="1"/>
        <v>1</v>
      </c>
      <c r="H5" s="242">
        <f>IF(F5&lt;&gt;"",G5*RATE_HOURLY,"")</f>
        <v>20</v>
      </c>
      <c r="I5" s="239"/>
    </row>
    <row r="6" ht="19.5" customHeight="1">
      <c r="A6" s="243" t="s">
        <v>74</v>
      </c>
      <c r="B6" s="8"/>
      <c r="C6" s="8"/>
      <c r="D6" s="8"/>
      <c r="E6" s="244"/>
      <c r="F6" s="245" t="str">
        <f>IF(INT(G6)&gt;0,INT(G6)&amp;"h "&amp;TEXT(ROUND((G6-INT(G6))*60,0),"0")&amp;"m",TEXT(ROUND(G6*60,0),"0")&amp;"m")</f>
        <v>2h 0m</v>
      </c>
      <c r="G6" s="246">
        <f t="shared" ref="G6:H6" si="2">SUM(G4:G5)</f>
        <v>2</v>
      </c>
      <c r="H6" s="247">
        <f t="shared" si="2"/>
        <v>40</v>
      </c>
      <c r="I6" s="248"/>
    </row>
    <row r="7" ht="15.75" customHeight="1">
      <c r="A7" s="187"/>
      <c r="B7" s="5"/>
      <c r="C7" s="5"/>
      <c r="D7" s="5"/>
      <c r="E7" s="5"/>
      <c r="F7" s="5"/>
      <c r="G7" s="5"/>
      <c r="H7" s="5"/>
      <c r="I7" s="5"/>
    </row>
    <row r="8" ht="15.75" customHeight="1">
      <c r="A8" s="187"/>
      <c r="B8" s="5"/>
      <c r="C8" s="5"/>
      <c r="D8" s="5"/>
      <c r="E8" s="5"/>
      <c r="F8" s="5"/>
      <c r="G8" s="5"/>
      <c r="H8" s="5"/>
      <c r="I8" s="5"/>
    </row>
    <row r="9" ht="15.75" customHeight="1">
      <c r="A9" s="187"/>
      <c r="B9" s="5"/>
      <c r="C9" s="5"/>
      <c r="D9" s="5"/>
      <c r="E9" s="5"/>
      <c r="F9" s="5"/>
      <c r="G9" s="5"/>
      <c r="H9" s="5"/>
      <c r="I9" s="5"/>
    </row>
    <row r="10" ht="15.75" customHeight="1">
      <c r="A10" s="187"/>
      <c r="B10" s="5"/>
      <c r="C10" s="5"/>
      <c r="D10" s="5"/>
      <c r="E10" s="249"/>
      <c r="F10" s="5"/>
      <c r="G10" s="5"/>
      <c r="H10" s="5"/>
      <c r="I10" s="5"/>
    </row>
    <row r="11" ht="15.75" customHeight="1">
      <c r="A11" s="187"/>
      <c r="B11" s="5"/>
      <c r="C11" s="5"/>
      <c r="D11" s="5"/>
      <c r="E11" s="5"/>
      <c r="F11" s="5"/>
      <c r="G11" s="5"/>
      <c r="H11" s="5"/>
      <c r="I11" s="5"/>
    </row>
    <row r="12" ht="15.75" customHeight="1">
      <c r="A12" s="187"/>
      <c r="B12" s="5"/>
      <c r="C12" s="5"/>
      <c r="D12" s="5"/>
      <c r="E12" s="5"/>
      <c r="F12" s="5"/>
      <c r="G12" s="5"/>
      <c r="H12" s="5"/>
      <c r="I12" s="5"/>
    </row>
    <row r="13" ht="15.75" customHeight="1">
      <c r="A13" s="187"/>
      <c r="B13" s="5"/>
      <c r="C13" s="5"/>
      <c r="D13" s="5"/>
      <c r="E13" s="5"/>
      <c r="F13" s="5"/>
      <c r="G13" s="5"/>
      <c r="H13" s="5"/>
      <c r="I13" s="5"/>
    </row>
    <row r="14" ht="15.75" customHeight="1">
      <c r="A14" s="187"/>
      <c r="B14" s="5"/>
      <c r="C14" s="5"/>
      <c r="D14" s="5"/>
      <c r="E14" s="5"/>
      <c r="F14" s="5"/>
      <c r="G14" s="5"/>
      <c r="H14" s="5"/>
      <c r="I14" s="5"/>
    </row>
    <row r="15" ht="15.75" customHeight="1">
      <c r="A15" s="187"/>
      <c r="B15" s="5"/>
      <c r="C15" s="5"/>
      <c r="D15" s="5"/>
      <c r="E15" s="5"/>
      <c r="F15" s="5"/>
      <c r="G15" s="5"/>
      <c r="H15" s="5"/>
      <c r="I15" s="5"/>
    </row>
    <row r="16" ht="15.75" customHeight="1">
      <c r="A16" s="187"/>
      <c r="B16" s="5"/>
      <c r="C16" s="5"/>
      <c r="D16" s="5"/>
      <c r="E16" s="5"/>
      <c r="F16" s="5"/>
      <c r="G16" s="5"/>
      <c r="H16" s="5"/>
      <c r="I16" s="5"/>
    </row>
    <row r="17" ht="15.75" customHeight="1">
      <c r="A17" s="187"/>
      <c r="B17" s="5"/>
      <c r="C17" s="5"/>
      <c r="D17" s="5"/>
      <c r="E17" s="5"/>
      <c r="F17" s="5"/>
      <c r="G17" s="5"/>
      <c r="H17" s="5"/>
      <c r="I17" s="5"/>
    </row>
    <row r="18" ht="15.75" customHeight="1">
      <c r="A18" s="187"/>
      <c r="B18" s="5"/>
      <c r="C18" s="5"/>
      <c r="D18" s="5"/>
      <c r="E18" s="5"/>
      <c r="F18" s="5"/>
      <c r="G18" s="5"/>
      <c r="H18" s="5"/>
      <c r="I18" s="5"/>
    </row>
    <row r="19" ht="15.75" customHeight="1">
      <c r="A19" s="187"/>
      <c r="B19" s="5"/>
      <c r="C19" s="5"/>
      <c r="D19" s="5"/>
      <c r="E19" s="5"/>
      <c r="F19" s="5"/>
      <c r="G19" s="5"/>
      <c r="H19" s="5"/>
      <c r="I19" s="5"/>
    </row>
    <row r="20" ht="15.75" customHeight="1">
      <c r="A20" s="187"/>
      <c r="B20" s="5"/>
      <c r="C20" s="5"/>
      <c r="D20" s="5"/>
      <c r="E20" s="5"/>
      <c r="F20" s="5"/>
      <c r="G20" s="5"/>
      <c r="H20" s="5"/>
      <c r="I20" s="5"/>
    </row>
    <row r="21" ht="15.75" customHeight="1">
      <c r="A21" s="187"/>
      <c r="B21" s="5"/>
      <c r="C21" s="5"/>
      <c r="D21" s="5"/>
      <c r="E21" s="5"/>
      <c r="F21" s="5"/>
      <c r="G21" s="5"/>
      <c r="H21" s="5"/>
      <c r="I21" s="5"/>
    </row>
    <row r="22" ht="15.75" customHeight="1">
      <c r="A22" s="187"/>
      <c r="B22" s="5"/>
      <c r="C22" s="5"/>
      <c r="D22" s="5"/>
      <c r="E22" s="5"/>
      <c r="F22" s="5"/>
      <c r="G22" s="5"/>
      <c r="H22" s="5"/>
      <c r="I22" s="5"/>
    </row>
    <row r="23" ht="15.75" customHeight="1">
      <c r="A23" s="187"/>
      <c r="B23" s="5"/>
      <c r="C23" s="5"/>
      <c r="D23" s="5"/>
      <c r="E23" s="5"/>
      <c r="F23" s="5"/>
      <c r="G23" s="5"/>
      <c r="H23" s="5"/>
      <c r="I23" s="5"/>
    </row>
    <row r="24" ht="15.75" customHeight="1">
      <c r="A24" s="187"/>
      <c r="B24" s="5"/>
      <c r="C24" s="5"/>
      <c r="D24" s="5"/>
      <c r="E24" s="5"/>
      <c r="F24" s="5"/>
      <c r="G24" s="5"/>
      <c r="H24" s="5"/>
      <c r="I24" s="5"/>
    </row>
    <row r="25" ht="15.75" customHeight="1">
      <c r="A25" s="187"/>
      <c r="B25" s="5"/>
      <c r="C25" s="5"/>
      <c r="D25" s="5"/>
      <c r="E25" s="5"/>
      <c r="F25" s="5"/>
      <c r="G25" s="5"/>
      <c r="H25" s="5"/>
      <c r="I25" s="5"/>
    </row>
    <row r="26" ht="15.75" customHeight="1">
      <c r="A26" s="187"/>
      <c r="B26" s="5"/>
      <c r="C26" s="5"/>
      <c r="D26" s="5"/>
      <c r="E26" s="5"/>
      <c r="F26" s="5"/>
      <c r="G26" s="5"/>
      <c r="H26" s="5"/>
      <c r="I26" s="5"/>
    </row>
    <row r="27" ht="15.75" customHeight="1">
      <c r="A27" s="187"/>
      <c r="B27" s="5"/>
      <c r="C27" s="5"/>
      <c r="D27" s="5"/>
      <c r="E27" s="5"/>
      <c r="F27" s="5"/>
      <c r="G27" s="5"/>
      <c r="H27" s="5"/>
      <c r="I27" s="5"/>
    </row>
    <row r="28" ht="15.75" customHeight="1">
      <c r="A28" s="187"/>
      <c r="B28" s="5"/>
      <c r="C28" s="5"/>
      <c r="D28" s="5"/>
      <c r="E28" s="5"/>
      <c r="F28" s="5"/>
      <c r="G28" s="5"/>
      <c r="H28" s="5"/>
      <c r="I28" s="5"/>
    </row>
    <row r="29" ht="15.75" customHeight="1">
      <c r="A29" s="187"/>
      <c r="B29" s="5"/>
      <c r="C29" s="5"/>
      <c r="D29" s="5"/>
      <c r="E29" s="5"/>
      <c r="F29" s="5"/>
      <c r="G29" s="5"/>
      <c r="H29" s="5"/>
      <c r="I29" s="5"/>
    </row>
    <row r="30" ht="15.75" customHeight="1">
      <c r="A30" s="187"/>
      <c r="B30" s="5"/>
      <c r="C30" s="5"/>
      <c r="D30" s="5"/>
      <c r="E30" s="5"/>
      <c r="F30" s="5"/>
      <c r="G30" s="5"/>
      <c r="H30" s="5"/>
      <c r="I30" s="5"/>
    </row>
    <row r="31" ht="15.75" customHeight="1">
      <c r="A31" s="187"/>
      <c r="B31" s="5"/>
      <c r="C31" s="5"/>
      <c r="D31" s="5"/>
      <c r="E31" s="5"/>
      <c r="F31" s="5"/>
      <c r="G31" s="5"/>
      <c r="H31" s="5"/>
      <c r="I31" s="5"/>
    </row>
    <row r="32" ht="15.75" customHeight="1">
      <c r="A32" s="187"/>
      <c r="B32" s="5"/>
      <c r="C32" s="5"/>
      <c r="D32" s="5"/>
      <c r="E32" s="5"/>
      <c r="F32" s="5"/>
      <c r="G32" s="5"/>
      <c r="H32" s="5"/>
      <c r="I32" s="5"/>
    </row>
    <row r="33" ht="15.75" customHeight="1">
      <c r="A33" s="187"/>
      <c r="B33" s="5"/>
      <c r="C33" s="5"/>
      <c r="D33" s="5"/>
      <c r="E33" s="5"/>
      <c r="F33" s="5"/>
      <c r="G33" s="5"/>
      <c r="H33" s="5"/>
      <c r="I33" s="5"/>
    </row>
    <row r="34" ht="15.75" customHeight="1">
      <c r="A34" s="187"/>
      <c r="B34" s="5"/>
      <c r="C34" s="5"/>
      <c r="D34" s="5"/>
      <c r="E34" s="5"/>
      <c r="F34" s="5"/>
      <c r="G34" s="5"/>
      <c r="H34" s="5"/>
      <c r="I34" s="5"/>
    </row>
    <row r="35" ht="15.75" customHeight="1">
      <c r="A35" s="187"/>
      <c r="B35" s="5"/>
      <c r="C35" s="5"/>
      <c r="D35" s="5"/>
      <c r="E35" s="5"/>
      <c r="F35" s="5"/>
      <c r="G35" s="5"/>
      <c r="H35" s="5"/>
      <c r="I35" s="5"/>
    </row>
    <row r="36" ht="15.75" customHeight="1">
      <c r="A36" s="187"/>
      <c r="B36" s="5"/>
      <c r="C36" s="5"/>
      <c r="D36" s="5"/>
      <c r="E36" s="5"/>
      <c r="F36" s="5"/>
      <c r="G36" s="5"/>
      <c r="H36" s="5"/>
      <c r="I36" s="5"/>
    </row>
    <row r="37" ht="15.75" customHeight="1">
      <c r="A37" s="187"/>
      <c r="B37" s="5"/>
      <c r="C37" s="5"/>
      <c r="D37" s="5"/>
      <c r="E37" s="5"/>
      <c r="F37" s="5"/>
      <c r="G37" s="5"/>
      <c r="H37" s="5"/>
      <c r="I37" s="5"/>
    </row>
    <row r="38" ht="15.75" customHeight="1">
      <c r="A38" s="187"/>
      <c r="B38" s="5"/>
      <c r="C38" s="5"/>
      <c r="D38" s="5"/>
      <c r="E38" s="5"/>
      <c r="F38" s="5"/>
      <c r="G38" s="5"/>
      <c r="H38" s="5"/>
      <c r="I38" s="5"/>
    </row>
    <row r="39" ht="15.75" customHeight="1">
      <c r="A39" s="187"/>
      <c r="B39" s="5"/>
      <c r="C39" s="5"/>
      <c r="D39" s="5"/>
      <c r="E39" s="5"/>
      <c r="F39" s="5"/>
      <c r="G39" s="5"/>
      <c r="H39" s="5"/>
      <c r="I39" s="5"/>
    </row>
    <row r="40" ht="15.75" customHeight="1">
      <c r="A40" s="187"/>
      <c r="B40" s="5"/>
      <c r="C40" s="5"/>
      <c r="D40" s="5"/>
      <c r="E40" s="5"/>
      <c r="F40" s="5"/>
      <c r="G40" s="5"/>
      <c r="H40" s="5"/>
      <c r="I40" s="5"/>
    </row>
    <row r="41" ht="15.75" customHeight="1">
      <c r="A41" s="187"/>
      <c r="B41" s="5"/>
      <c r="C41" s="5"/>
      <c r="D41" s="5"/>
      <c r="E41" s="5"/>
      <c r="F41" s="5"/>
      <c r="G41" s="5"/>
      <c r="H41" s="5"/>
      <c r="I41" s="5"/>
    </row>
    <row r="42" ht="15.75" customHeight="1">
      <c r="A42" s="187"/>
      <c r="B42" s="5"/>
      <c r="C42" s="5"/>
      <c r="D42" s="5"/>
      <c r="E42" s="5"/>
      <c r="F42" s="5"/>
      <c r="G42" s="5"/>
      <c r="H42" s="5"/>
      <c r="I42" s="5"/>
    </row>
    <row r="43" ht="15.75" customHeight="1">
      <c r="A43" s="187"/>
      <c r="B43" s="5"/>
      <c r="C43" s="5"/>
      <c r="D43" s="5"/>
      <c r="E43" s="5"/>
      <c r="F43" s="5"/>
      <c r="G43" s="5"/>
      <c r="H43" s="5"/>
      <c r="I43" s="5"/>
    </row>
    <row r="44" ht="15.75" customHeight="1">
      <c r="A44" s="187"/>
      <c r="B44" s="5"/>
      <c r="C44" s="5"/>
      <c r="D44" s="5"/>
      <c r="E44" s="5"/>
      <c r="F44" s="5"/>
      <c r="G44" s="5"/>
      <c r="H44" s="5"/>
      <c r="I44" s="5"/>
    </row>
    <row r="45" ht="15.75" customHeight="1">
      <c r="A45" s="187"/>
      <c r="B45" s="5"/>
      <c r="C45" s="5"/>
      <c r="D45" s="5"/>
      <c r="E45" s="5"/>
      <c r="F45" s="5"/>
      <c r="G45" s="5"/>
      <c r="H45" s="5"/>
      <c r="I45" s="5"/>
    </row>
    <row r="46" ht="15.75" customHeight="1">
      <c r="A46" s="187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187"/>
      <c r="B47" s="5"/>
      <c r="C47" s="5"/>
      <c r="D47" s="5"/>
      <c r="E47" s="5"/>
      <c r="F47" s="5"/>
      <c r="G47" s="5"/>
      <c r="H47" s="5"/>
      <c r="I47" s="5"/>
    </row>
    <row r="48" ht="15.75" customHeight="1">
      <c r="A48" s="187"/>
      <c r="B48" s="5"/>
      <c r="C48" s="5"/>
      <c r="D48" s="5"/>
      <c r="E48" s="5"/>
      <c r="F48" s="5"/>
      <c r="G48" s="5"/>
      <c r="H48" s="5"/>
      <c r="I48" s="5"/>
    </row>
    <row r="49" ht="15.75" customHeight="1">
      <c r="A49" s="187"/>
      <c r="B49" s="5"/>
      <c r="C49" s="5"/>
      <c r="D49" s="5"/>
      <c r="E49" s="5"/>
      <c r="F49" s="5"/>
      <c r="G49" s="5"/>
      <c r="H49" s="5"/>
      <c r="I49" s="5"/>
    </row>
    <row r="50" ht="15.75" customHeight="1">
      <c r="A50" s="187"/>
      <c r="B50" s="5"/>
      <c r="C50" s="5"/>
      <c r="D50" s="5"/>
      <c r="E50" s="5"/>
      <c r="F50" s="5"/>
      <c r="G50" s="5"/>
      <c r="H50" s="5"/>
      <c r="I50" s="5"/>
    </row>
    <row r="51" ht="15.75" customHeight="1">
      <c r="A51" s="187"/>
      <c r="B51" s="5"/>
      <c r="C51" s="5"/>
      <c r="D51" s="5"/>
      <c r="E51" s="5"/>
      <c r="F51" s="5"/>
      <c r="G51" s="5"/>
      <c r="H51" s="5"/>
      <c r="I51" s="5"/>
    </row>
    <row r="52" ht="15.75" customHeight="1">
      <c r="A52" s="187"/>
      <c r="B52" s="5"/>
      <c r="C52" s="5"/>
      <c r="D52" s="5"/>
      <c r="E52" s="5"/>
      <c r="F52" s="5"/>
      <c r="G52" s="5"/>
      <c r="H52" s="5"/>
      <c r="I52" s="5"/>
    </row>
    <row r="53" ht="15.75" customHeight="1">
      <c r="A53" s="187"/>
      <c r="B53" s="5"/>
      <c r="C53" s="5"/>
      <c r="D53" s="5"/>
      <c r="E53" s="5"/>
      <c r="F53" s="5"/>
      <c r="G53" s="5"/>
      <c r="H53" s="5"/>
      <c r="I53" s="5"/>
    </row>
    <row r="54" ht="15.75" customHeight="1">
      <c r="A54" s="187"/>
      <c r="B54" s="5"/>
      <c r="C54" s="5"/>
      <c r="D54" s="5"/>
      <c r="E54" s="5"/>
      <c r="F54" s="5"/>
      <c r="G54" s="5"/>
      <c r="H54" s="5"/>
      <c r="I54" s="5"/>
    </row>
    <row r="55" ht="15.75" customHeight="1">
      <c r="A55" s="187"/>
      <c r="B55" s="5"/>
      <c r="C55" s="5"/>
      <c r="D55" s="5"/>
      <c r="E55" s="5"/>
      <c r="F55" s="5"/>
      <c r="G55" s="5"/>
      <c r="H55" s="5"/>
      <c r="I55" s="5"/>
    </row>
    <row r="56" ht="15.75" customHeight="1">
      <c r="A56" s="187"/>
      <c r="B56" s="5"/>
      <c r="C56" s="5"/>
      <c r="D56" s="5"/>
      <c r="E56" s="5"/>
      <c r="F56" s="5"/>
      <c r="G56" s="5"/>
      <c r="H56" s="5"/>
      <c r="I56" s="5"/>
    </row>
    <row r="57" ht="15.75" customHeight="1">
      <c r="A57" s="187"/>
      <c r="B57" s="5"/>
      <c r="C57" s="5"/>
      <c r="D57" s="5"/>
      <c r="E57" s="5"/>
      <c r="F57" s="5"/>
      <c r="G57" s="5"/>
      <c r="H57" s="5"/>
      <c r="I57" s="5"/>
    </row>
    <row r="58" ht="15.75" customHeight="1">
      <c r="A58" s="187"/>
      <c r="B58" s="5"/>
      <c r="C58" s="5"/>
      <c r="D58" s="5"/>
      <c r="E58" s="5"/>
      <c r="F58" s="5"/>
      <c r="G58" s="5"/>
      <c r="H58" s="5"/>
      <c r="I58" s="5"/>
    </row>
    <row r="59" ht="15.75" customHeight="1">
      <c r="A59" s="187"/>
      <c r="B59" s="5"/>
      <c r="C59" s="5"/>
      <c r="D59" s="5"/>
      <c r="E59" s="5"/>
      <c r="F59" s="5"/>
      <c r="G59" s="5"/>
      <c r="H59" s="5"/>
      <c r="I59" s="5"/>
    </row>
    <row r="60" ht="15.75" customHeight="1">
      <c r="A60" s="187"/>
      <c r="B60" s="5"/>
      <c r="C60" s="5"/>
      <c r="D60" s="5"/>
      <c r="E60" s="5"/>
      <c r="F60" s="5"/>
      <c r="G60" s="5"/>
      <c r="H60" s="5"/>
      <c r="I60" s="5"/>
    </row>
    <row r="61" ht="15.75" customHeight="1">
      <c r="A61" s="187"/>
      <c r="B61" s="5"/>
      <c r="C61" s="5"/>
      <c r="D61" s="5"/>
      <c r="E61" s="5"/>
      <c r="F61" s="5"/>
      <c r="G61" s="5"/>
      <c r="H61" s="5"/>
      <c r="I61" s="5"/>
    </row>
    <row r="62" ht="15.75" customHeight="1">
      <c r="A62" s="187"/>
      <c r="B62" s="5"/>
      <c r="C62" s="5"/>
      <c r="D62" s="5"/>
      <c r="E62" s="5"/>
      <c r="F62" s="5"/>
      <c r="G62" s="5"/>
      <c r="H62" s="5"/>
      <c r="I62" s="5"/>
    </row>
    <row r="63" ht="15.75" customHeight="1">
      <c r="A63" s="187"/>
      <c r="B63" s="5"/>
      <c r="C63" s="5"/>
      <c r="D63" s="5"/>
      <c r="E63" s="5"/>
      <c r="F63" s="5"/>
      <c r="G63" s="5"/>
      <c r="H63" s="5"/>
      <c r="I63" s="5"/>
    </row>
    <row r="64" ht="15.75" customHeight="1">
      <c r="A64" s="187"/>
      <c r="B64" s="5"/>
      <c r="C64" s="5"/>
      <c r="D64" s="5"/>
      <c r="E64" s="5"/>
      <c r="F64" s="5"/>
      <c r="G64" s="5"/>
      <c r="H64" s="5"/>
      <c r="I64" s="5"/>
    </row>
    <row r="65" ht="15.75" customHeight="1">
      <c r="A65" s="187"/>
      <c r="B65" s="5"/>
      <c r="C65" s="5"/>
      <c r="D65" s="5"/>
      <c r="E65" s="5"/>
      <c r="F65" s="5"/>
      <c r="G65" s="5"/>
      <c r="H65" s="5"/>
      <c r="I65" s="5"/>
    </row>
    <row r="66" ht="15.75" customHeight="1">
      <c r="A66" s="187"/>
      <c r="B66" s="5"/>
      <c r="C66" s="5"/>
      <c r="D66" s="5"/>
      <c r="E66" s="5"/>
      <c r="F66" s="5"/>
      <c r="G66" s="5"/>
      <c r="H66" s="5"/>
      <c r="I66" s="5"/>
    </row>
    <row r="67" ht="15.75" customHeight="1">
      <c r="A67" s="187"/>
      <c r="B67" s="5"/>
      <c r="C67" s="5"/>
      <c r="D67" s="5"/>
      <c r="E67" s="5"/>
      <c r="F67" s="5"/>
      <c r="G67" s="5"/>
      <c r="H67" s="5"/>
      <c r="I67" s="5"/>
    </row>
    <row r="68" ht="15.75" customHeight="1">
      <c r="A68" s="187"/>
      <c r="B68" s="5"/>
      <c r="C68" s="5"/>
      <c r="D68" s="5"/>
      <c r="E68" s="5"/>
      <c r="F68" s="5"/>
      <c r="G68" s="5"/>
      <c r="H68" s="5"/>
      <c r="I68" s="5"/>
    </row>
    <row r="69" ht="15.75" customHeight="1">
      <c r="A69" s="187"/>
      <c r="B69" s="5"/>
      <c r="C69" s="5"/>
      <c r="D69" s="5"/>
      <c r="E69" s="5"/>
      <c r="F69" s="5"/>
      <c r="G69" s="5"/>
      <c r="H69" s="5"/>
      <c r="I69" s="5"/>
    </row>
    <row r="70" ht="15.75" customHeight="1">
      <c r="A70" s="187"/>
      <c r="B70" s="5"/>
      <c r="C70" s="5"/>
      <c r="D70" s="5"/>
      <c r="E70" s="5"/>
      <c r="F70" s="5"/>
      <c r="G70" s="5"/>
      <c r="H70" s="5"/>
      <c r="I70" s="5"/>
    </row>
    <row r="71" ht="15.75" customHeight="1">
      <c r="A71" s="187"/>
      <c r="B71" s="5"/>
      <c r="C71" s="5"/>
      <c r="D71" s="5"/>
      <c r="E71" s="5"/>
      <c r="F71" s="5"/>
      <c r="G71" s="5"/>
      <c r="H71" s="5"/>
      <c r="I71" s="5"/>
    </row>
    <row r="72" ht="15.75" customHeight="1">
      <c r="A72" s="187"/>
      <c r="B72" s="5"/>
      <c r="C72" s="5"/>
      <c r="D72" s="5"/>
      <c r="E72" s="5"/>
      <c r="F72" s="5"/>
      <c r="G72" s="5"/>
      <c r="H72" s="5"/>
      <c r="I72" s="5"/>
    </row>
    <row r="73" ht="15.75" customHeight="1">
      <c r="A73" s="187"/>
      <c r="B73" s="5"/>
      <c r="C73" s="5"/>
      <c r="D73" s="5"/>
      <c r="E73" s="5"/>
      <c r="F73" s="5"/>
      <c r="G73" s="5"/>
      <c r="H73" s="5"/>
      <c r="I73" s="5"/>
    </row>
    <row r="74" ht="15.75" customHeight="1">
      <c r="A74" s="187"/>
      <c r="B74" s="5"/>
      <c r="C74" s="5"/>
      <c r="D74" s="5"/>
      <c r="E74" s="5"/>
      <c r="F74" s="5"/>
      <c r="G74" s="5"/>
      <c r="H74" s="5"/>
      <c r="I74" s="5"/>
    </row>
    <row r="75" ht="15.75" customHeight="1">
      <c r="A75" s="187"/>
      <c r="B75" s="5"/>
      <c r="C75" s="5"/>
      <c r="D75" s="5"/>
      <c r="E75" s="5"/>
      <c r="F75" s="5"/>
      <c r="G75" s="5"/>
      <c r="H75" s="5"/>
      <c r="I75" s="5"/>
    </row>
    <row r="76" ht="15.75" customHeight="1">
      <c r="A76" s="187"/>
      <c r="B76" s="5"/>
      <c r="C76" s="5"/>
      <c r="D76" s="5"/>
      <c r="E76" s="5"/>
      <c r="F76" s="5"/>
      <c r="G76" s="5"/>
      <c r="H76" s="5"/>
      <c r="I76" s="5"/>
    </row>
    <row r="77" ht="15.75" customHeight="1">
      <c r="A77" s="187"/>
      <c r="B77" s="5"/>
      <c r="C77" s="5"/>
      <c r="D77" s="5"/>
      <c r="E77" s="5"/>
      <c r="F77" s="5"/>
      <c r="G77" s="5"/>
      <c r="H77" s="5"/>
      <c r="I77" s="5"/>
    </row>
    <row r="78" ht="15.75" customHeight="1">
      <c r="A78" s="187"/>
      <c r="B78" s="5"/>
      <c r="C78" s="5"/>
      <c r="D78" s="5"/>
      <c r="E78" s="5"/>
      <c r="F78" s="5"/>
      <c r="G78" s="5"/>
      <c r="H78" s="5"/>
      <c r="I78" s="5"/>
    </row>
    <row r="79" ht="15.75" customHeight="1">
      <c r="A79" s="187"/>
      <c r="B79" s="5"/>
      <c r="C79" s="5"/>
      <c r="D79" s="5"/>
      <c r="E79" s="5"/>
      <c r="F79" s="5"/>
      <c r="G79" s="5"/>
      <c r="H79" s="5"/>
      <c r="I79" s="5"/>
    </row>
    <row r="80" ht="15.75" customHeight="1">
      <c r="A80" s="187"/>
      <c r="B80" s="5"/>
      <c r="C80" s="5"/>
      <c r="D80" s="5"/>
      <c r="E80" s="5"/>
      <c r="F80" s="5"/>
      <c r="G80" s="5"/>
      <c r="H80" s="5"/>
      <c r="I80" s="5"/>
    </row>
    <row r="81" ht="15.75" customHeight="1">
      <c r="A81" s="187"/>
      <c r="B81" s="5"/>
      <c r="C81" s="5"/>
      <c r="D81" s="5"/>
      <c r="E81" s="5"/>
      <c r="F81" s="5"/>
      <c r="G81" s="5"/>
      <c r="H81" s="5"/>
      <c r="I81" s="5"/>
    </row>
    <row r="82" ht="15.75" customHeight="1">
      <c r="A82" s="187"/>
      <c r="B82" s="5"/>
      <c r="C82" s="5"/>
      <c r="D82" s="5"/>
      <c r="E82" s="5"/>
      <c r="F82" s="5"/>
      <c r="G82" s="5"/>
      <c r="H82" s="5"/>
      <c r="I82" s="5"/>
    </row>
    <row r="83" ht="15.75" customHeight="1">
      <c r="A83" s="187"/>
      <c r="B83" s="5"/>
      <c r="C83" s="5"/>
      <c r="D83" s="5"/>
      <c r="E83" s="5"/>
      <c r="F83" s="5"/>
      <c r="G83" s="5"/>
      <c r="H83" s="5"/>
      <c r="I83" s="5"/>
    </row>
    <row r="84" ht="15.75" customHeight="1">
      <c r="A84" s="187"/>
      <c r="B84" s="5"/>
      <c r="C84" s="5"/>
      <c r="D84" s="5"/>
      <c r="E84" s="5"/>
      <c r="F84" s="5"/>
      <c r="G84" s="5"/>
      <c r="H84" s="5"/>
      <c r="I84" s="5"/>
    </row>
    <row r="85" ht="15.75" customHeight="1">
      <c r="A85" s="187"/>
      <c r="B85" s="5"/>
      <c r="C85" s="5"/>
      <c r="D85" s="5"/>
      <c r="E85" s="5"/>
      <c r="F85" s="5"/>
      <c r="G85" s="5"/>
      <c r="H85" s="5"/>
      <c r="I85" s="5"/>
    </row>
    <row r="86" ht="15.75" customHeight="1">
      <c r="A86" s="187"/>
      <c r="B86" s="5"/>
      <c r="C86" s="5"/>
      <c r="D86" s="5"/>
      <c r="E86" s="5"/>
      <c r="F86" s="5"/>
      <c r="G86" s="5"/>
      <c r="H86" s="5"/>
      <c r="I86" s="5"/>
    </row>
    <row r="87" ht="15.75" customHeight="1">
      <c r="A87" s="187"/>
      <c r="B87" s="5"/>
      <c r="C87" s="5"/>
      <c r="D87" s="5"/>
      <c r="E87" s="5"/>
      <c r="F87" s="5"/>
      <c r="G87" s="5"/>
      <c r="H87" s="5"/>
      <c r="I87" s="5"/>
    </row>
    <row r="88" ht="15.75" customHeight="1">
      <c r="A88" s="187"/>
      <c r="B88" s="5"/>
      <c r="C88" s="5"/>
      <c r="D88" s="5"/>
      <c r="E88" s="5"/>
      <c r="F88" s="5"/>
      <c r="G88" s="5"/>
      <c r="H88" s="5"/>
      <c r="I88" s="5"/>
    </row>
    <row r="89" ht="15.75" customHeight="1">
      <c r="A89" s="187"/>
      <c r="B89" s="5"/>
      <c r="C89" s="5"/>
      <c r="D89" s="5"/>
      <c r="E89" s="5"/>
      <c r="F89" s="5"/>
      <c r="G89" s="5"/>
      <c r="H89" s="5"/>
      <c r="I89" s="5"/>
    </row>
    <row r="90" ht="15.75" customHeight="1">
      <c r="A90" s="187"/>
      <c r="B90" s="5"/>
      <c r="C90" s="5"/>
      <c r="D90" s="5"/>
      <c r="E90" s="5"/>
      <c r="F90" s="5"/>
      <c r="G90" s="5"/>
      <c r="H90" s="5"/>
      <c r="I90" s="5"/>
    </row>
    <row r="91" ht="15.75" customHeight="1">
      <c r="A91" s="187"/>
      <c r="B91" s="5"/>
      <c r="C91" s="5"/>
      <c r="D91" s="5"/>
      <c r="E91" s="5"/>
      <c r="F91" s="5"/>
      <c r="G91" s="5"/>
      <c r="H91" s="5"/>
      <c r="I91" s="5"/>
    </row>
    <row r="92" ht="15.75" customHeight="1">
      <c r="A92" s="187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187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187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187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187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187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187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187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187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187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187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187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187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187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187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187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187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187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187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187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187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187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187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187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187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187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187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187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187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187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187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187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187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187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187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187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187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187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187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187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187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187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187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187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187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187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187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187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187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187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187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187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187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187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187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187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187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187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187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187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187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187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187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187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187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187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187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187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187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187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187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187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187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187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187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187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187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187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187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187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187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187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187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187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187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187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187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187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187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187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187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187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187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187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187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187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187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187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187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187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187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187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187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187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187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187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187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187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187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187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187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187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187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187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187"/>
      <c r="B206" s="5"/>
      <c r="C206" s="5"/>
      <c r="D206" s="5"/>
      <c r="E206" s="5"/>
      <c r="F206" s="5"/>
      <c r="G206" s="5"/>
      <c r="H206" s="5"/>
      <c r="I206" s="5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</sheetData>
  <mergeCells count="3">
    <mergeCell ref="A1:I1"/>
    <mergeCell ref="A2:I2"/>
    <mergeCell ref="A6:E6"/>
  </mergeCells>
  <dataValidations>
    <dataValidation type="list" allowBlank="1" sqref="D4:D5">
      <formula1>"Meeting,Style Guide Research,Style Guide Writing,Style Guide Review,Style Guide Query,LQA,Proofreading/Editing,QA Coordination,Arbitration,Other"</formula1>
    </dataValidation>
    <dataValidation type="custom" allowBlank="1" showDropDown="1" showErrorMessage="1" sqref="A4:A5">
      <formula1>OR(NOT(ISERROR(DATEVALUE(A4))), AND(ISNUMBER(A4), LEFT(CELL("format", A4))="D"))</formula1>
    </dataValidation>
    <dataValidation type="list" allowBlank="1" showErrorMessage="1" sqref="B4:B5">
      <formula1>"Team Member 3,Team Member 4"</formula1>
    </dataValidation>
    <dataValidation type="list" allowBlank="1" showErrorMessage="1" sqref="C4:C5">
      <formula1>"Language Analyst,Language Analyst - Lead"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0.43"/>
    <col customWidth="1" min="3" max="3" width="24.0"/>
    <col customWidth="1" min="4" max="4" width="22.0"/>
    <col customWidth="1" min="5" max="5" width="35.43"/>
    <col customWidth="1" min="6" max="6" width="9.86"/>
    <col customWidth="1" hidden="1" min="7" max="7" width="4.71"/>
    <col customWidth="1" min="8" max="8" width="9.86"/>
    <col customWidth="1" min="9" max="9" width="31.14"/>
    <col customWidth="1" min="10" max="26" width="8.71"/>
  </cols>
  <sheetData>
    <row r="1" ht="25.5" customHeight="1">
      <c r="A1" s="250" t="s">
        <v>194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251" t="s">
        <v>195</v>
      </c>
      <c r="B2" s="2"/>
      <c r="C2" s="2"/>
      <c r="D2" s="2"/>
      <c r="E2" s="2"/>
      <c r="F2" s="2"/>
      <c r="G2" s="2"/>
      <c r="H2" s="2"/>
      <c r="I2" s="3"/>
    </row>
    <row r="3" ht="15.0" customHeight="1">
      <c r="A3" s="252" t="s">
        <v>166</v>
      </c>
      <c r="B3" s="253" t="s">
        <v>2</v>
      </c>
      <c r="C3" s="253" t="s">
        <v>3</v>
      </c>
      <c r="D3" s="253" t="s">
        <v>187</v>
      </c>
      <c r="E3" s="254" t="s">
        <v>188</v>
      </c>
      <c r="F3" s="253" t="s">
        <v>189</v>
      </c>
      <c r="G3" s="253" t="s">
        <v>84</v>
      </c>
      <c r="H3" s="253" t="s">
        <v>190</v>
      </c>
      <c r="I3" s="253" t="s">
        <v>191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255">
        <v>46143.0</v>
      </c>
      <c r="B4" s="256" t="s">
        <v>26</v>
      </c>
      <c r="C4" s="257" t="s">
        <v>27</v>
      </c>
      <c r="D4" s="257" t="s">
        <v>192</v>
      </c>
      <c r="E4" s="239"/>
      <c r="F4" s="257" t="s">
        <v>196</v>
      </c>
      <c r="G4" s="258">
        <f t="shared" ref="G4:G5" si="1">IFERROR(IF(AND(ISNUMBER(SEARCH("h",F4)),ISNUMBER(SEARCH("m",F4))),VALUE(LEFT(F4,SEARCH("h",F4)-1))+VALUE(MID(F4,SEARCH("h",F4)+1,SEARCH("m",F4)-SEARCH("h",F4)-1))/60,IF(ISNUMBER(SEARCH("h",F4)),VALUE(LEFT(F4,SEARCH("h",F4)-1)),IF(ISNUMBER(SEARCH("m",F4)),VALUE(LEFT(F4,SEARCH("m",F4)-1))/60,VALUE(F4)))),0)</f>
        <v>0.5</v>
      </c>
      <c r="H4" s="259">
        <f>IF(F4&lt;&gt;"",G4*RATE_HOURLY,"")</f>
        <v>10</v>
      </c>
      <c r="I4" s="260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</row>
    <row r="5" ht="15.0" customHeight="1">
      <c r="A5" s="262">
        <v>46143.0</v>
      </c>
      <c r="B5" s="263" t="s">
        <v>29</v>
      </c>
      <c r="C5" s="264" t="s">
        <v>30</v>
      </c>
      <c r="D5" s="264" t="s">
        <v>192</v>
      </c>
      <c r="E5" s="264"/>
      <c r="F5" s="264" t="s">
        <v>196</v>
      </c>
      <c r="G5" s="265">
        <f t="shared" si="1"/>
        <v>0.5</v>
      </c>
      <c r="H5" s="266">
        <f>IF(F5&lt;&gt;"",G5*RATE_HOURLY,"")</f>
        <v>10</v>
      </c>
      <c r="I5" s="267"/>
    </row>
    <row r="6" ht="19.5" customHeight="1">
      <c r="A6" s="268" t="s">
        <v>74</v>
      </c>
      <c r="B6" s="8"/>
      <c r="C6" s="8"/>
      <c r="D6" s="8"/>
      <c r="E6" s="244"/>
      <c r="F6" s="269" t="str">
        <f>IF(INT(G6)&gt;0,INT(G6)&amp;"h "&amp;TEXT(ROUND((G6-INT(G6))*60,0),"0")&amp;"m",TEXT(ROUND(G6*60,0),"0")&amp;"m")</f>
        <v>1h 0m</v>
      </c>
      <c r="G6" s="270">
        <f t="shared" ref="G6:H6" si="2">SUM(G4:G5)</f>
        <v>1</v>
      </c>
      <c r="H6" s="271">
        <f t="shared" si="2"/>
        <v>20</v>
      </c>
      <c r="I6" s="272"/>
    </row>
    <row r="7" ht="15.75" customHeight="1">
      <c r="A7" s="187"/>
      <c r="B7" s="5"/>
      <c r="C7" s="5"/>
      <c r="D7" s="5"/>
      <c r="E7" s="5"/>
      <c r="F7" s="5"/>
      <c r="G7" s="5"/>
      <c r="H7" s="5"/>
      <c r="I7" s="273"/>
    </row>
    <row r="8" ht="15.75" customHeight="1">
      <c r="A8" s="187"/>
      <c r="B8" s="5"/>
      <c r="C8" s="5"/>
      <c r="D8" s="5"/>
      <c r="E8" s="5"/>
      <c r="F8" s="5"/>
      <c r="G8" s="5"/>
      <c r="H8" s="5"/>
      <c r="I8" s="273"/>
    </row>
    <row r="9" ht="15.75" customHeight="1">
      <c r="A9" s="187"/>
      <c r="B9" s="5"/>
      <c r="C9" s="5"/>
      <c r="D9" s="5"/>
      <c r="E9" s="5"/>
      <c r="F9" s="5"/>
      <c r="G9" s="5"/>
      <c r="H9" s="5"/>
      <c r="I9" s="273"/>
    </row>
    <row r="10" ht="15.75" customHeight="1">
      <c r="A10" s="187"/>
      <c r="B10" s="5"/>
      <c r="C10" s="5"/>
      <c r="D10" s="5"/>
      <c r="E10" s="5"/>
      <c r="F10" s="5"/>
      <c r="G10" s="5"/>
      <c r="H10" s="5"/>
      <c r="I10" s="273"/>
    </row>
    <row r="11" ht="15.75" customHeight="1">
      <c r="A11" s="187"/>
      <c r="B11" s="5"/>
      <c r="C11" s="5"/>
      <c r="D11" s="5"/>
      <c r="E11" s="5"/>
      <c r="F11" s="5"/>
      <c r="G11" s="5"/>
      <c r="H11" s="5"/>
      <c r="I11" s="273"/>
    </row>
    <row r="12" ht="15.75" customHeight="1">
      <c r="A12" s="187"/>
      <c r="B12" s="5"/>
      <c r="C12" s="5"/>
      <c r="D12" s="5"/>
      <c r="E12" s="5"/>
      <c r="F12" s="5"/>
      <c r="G12" s="5"/>
      <c r="H12" s="5"/>
      <c r="I12" s="273"/>
    </row>
    <row r="13" ht="15.75" customHeight="1">
      <c r="A13" s="187"/>
      <c r="B13" s="5"/>
      <c r="C13" s="5"/>
      <c r="D13" s="5"/>
      <c r="E13" s="5"/>
      <c r="F13" s="5"/>
      <c r="G13" s="5"/>
      <c r="H13" s="5"/>
      <c r="I13" s="273"/>
    </row>
    <row r="14" ht="15.75" customHeight="1">
      <c r="A14" s="187"/>
      <c r="B14" s="5"/>
      <c r="C14" s="5"/>
      <c r="D14" s="5"/>
      <c r="E14" s="5"/>
      <c r="F14" s="5"/>
      <c r="G14" s="5"/>
      <c r="H14" s="5"/>
      <c r="I14" s="273"/>
    </row>
    <row r="15" ht="15.75" customHeight="1">
      <c r="A15" s="187"/>
      <c r="B15" s="5"/>
      <c r="C15" s="5"/>
      <c r="D15" s="5"/>
      <c r="E15" s="5"/>
      <c r="F15" s="5"/>
      <c r="G15" s="5"/>
      <c r="H15" s="5"/>
      <c r="I15" s="273"/>
    </row>
    <row r="16" ht="15.75" customHeight="1">
      <c r="A16" s="187"/>
      <c r="B16" s="5"/>
      <c r="C16" s="5"/>
      <c r="D16" s="5"/>
      <c r="E16" s="5"/>
      <c r="F16" s="5"/>
      <c r="G16" s="5"/>
      <c r="H16" s="5"/>
      <c r="I16" s="273"/>
    </row>
    <row r="17" ht="15.75" customHeight="1">
      <c r="A17" s="187"/>
      <c r="B17" s="5"/>
      <c r="C17" s="5"/>
      <c r="D17" s="5"/>
      <c r="E17" s="5"/>
      <c r="F17" s="5"/>
      <c r="G17" s="5"/>
      <c r="H17" s="5"/>
      <c r="I17" s="273"/>
    </row>
    <row r="18" ht="15.75" customHeight="1">
      <c r="A18" s="187"/>
      <c r="B18" s="5"/>
      <c r="C18" s="5"/>
      <c r="D18" s="5"/>
      <c r="E18" s="5"/>
      <c r="F18" s="5"/>
      <c r="G18" s="5"/>
      <c r="H18" s="5"/>
      <c r="I18" s="273"/>
    </row>
    <row r="19" ht="15.75" customHeight="1">
      <c r="A19" s="187"/>
      <c r="B19" s="5"/>
      <c r="C19" s="5"/>
      <c r="D19" s="5"/>
      <c r="E19" s="5"/>
      <c r="F19" s="5"/>
      <c r="G19" s="5"/>
      <c r="H19" s="5"/>
      <c r="I19" s="273"/>
    </row>
    <row r="20" ht="15.75" customHeight="1">
      <c r="A20" s="187"/>
      <c r="B20" s="5"/>
      <c r="C20" s="5"/>
      <c r="D20" s="5"/>
      <c r="E20" s="5"/>
      <c r="F20" s="5"/>
      <c r="G20" s="5"/>
      <c r="H20" s="5"/>
      <c r="I20" s="273"/>
    </row>
    <row r="21" ht="15.75" customHeight="1">
      <c r="A21" s="187"/>
      <c r="B21" s="5"/>
      <c r="C21" s="5"/>
      <c r="D21" s="5"/>
      <c r="E21" s="5"/>
      <c r="F21" s="5"/>
      <c r="G21" s="5"/>
      <c r="H21" s="5"/>
      <c r="I21" s="273"/>
    </row>
    <row r="22" ht="15.75" customHeight="1">
      <c r="A22" s="187"/>
      <c r="B22" s="5"/>
      <c r="C22" s="5"/>
      <c r="D22" s="5"/>
      <c r="E22" s="5"/>
      <c r="F22" s="5"/>
      <c r="G22" s="5"/>
      <c r="H22" s="5"/>
      <c r="I22" s="273"/>
    </row>
    <row r="23" ht="15.75" customHeight="1">
      <c r="A23" s="187"/>
      <c r="B23" s="5"/>
      <c r="C23" s="5"/>
      <c r="D23" s="5"/>
      <c r="E23" s="5"/>
      <c r="F23" s="5"/>
      <c r="G23" s="5"/>
      <c r="H23" s="5"/>
      <c r="I23" s="273"/>
    </row>
    <row r="24" ht="15.75" customHeight="1">
      <c r="A24" s="187"/>
      <c r="B24" s="5"/>
      <c r="C24" s="5"/>
      <c r="D24" s="5"/>
      <c r="E24" s="5"/>
      <c r="F24" s="5"/>
      <c r="G24" s="5"/>
      <c r="H24" s="5"/>
      <c r="I24" s="273"/>
    </row>
    <row r="25" ht="15.75" customHeight="1">
      <c r="A25" s="187"/>
      <c r="B25" s="5"/>
      <c r="C25" s="5"/>
      <c r="D25" s="5"/>
      <c r="E25" s="5"/>
      <c r="F25" s="5"/>
      <c r="G25" s="5"/>
      <c r="H25" s="5"/>
      <c r="I25" s="273"/>
    </row>
    <row r="26" ht="15.75" customHeight="1">
      <c r="A26" s="187"/>
      <c r="B26" s="5"/>
      <c r="C26" s="5"/>
      <c r="D26" s="5"/>
      <c r="E26" s="5"/>
      <c r="F26" s="5"/>
      <c r="G26" s="5"/>
      <c r="H26" s="5"/>
      <c r="I26" s="273"/>
    </row>
    <row r="27" ht="15.75" customHeight="1">
      <c r="A27" s="187"/>
      <c r="B27" s="5"/>
      <c r="C27" s="5"/>
      <c r="D27" s="5"/>
      <c r="E27" s="5"/>
      <c r="F27" s="5"/>
      <c r="G27" s="5"/>
      <c r="H27" s="5"/>
      <c r="I27" s="273"/>
    </row>
    <row r="28" ht="15.75" customHeight="1">
      <c r="A28" s="187"/>
      <c r="B28" s="5"/>
      <c r="C28" s="5"/>
      <c r="D28" s="5"/>
      <c r="E28" s="5"/>
      <c r="F28" s="5"/>
      <c r="G28" s="5"/>
      <c r="H28" s="5"/>
      <c r="I28" s="273"/>
    </row>
    <row r="29" ht="15.75" customHeight="1">
      <c r="A29" s="187"/>
      <c r="B29" s="5"/>
      <c r="C29" s="5"/>
      <c r="D29" s="5"/>
      <c r="E29" s="5"/>
      <c r="F29" s="5"/>
      <c r="G29" s="5"/>
      <c r="H29" s="5"/>
      <c r="I29" s="273"/>
    </row>
    <row r="30" ht="15.75" customHeight="1">
      <c r="A30" s="187"/>
      <c r="B30" s="5"/>
      <c r="C30" s="5"/>
      <c r="D30" s="5"/>
      <c r="E30" s="5"/>
      <c r="F30" s="5"/>
      <c r="G30" s="5"/>
      <c r="H30" s="5"/>
      <c r="I30" s="273"/>
    </row>
    <row r="31" ht="15.75" customHeight="1">
      <c r="A31" s="187"/>
      <c r="B31" s="5"/>
      <c r="C31" s="5"/>
      <c r="D31" s="5"/>
      <c r="E31" s="5"/>
      <c r="F31" s="5"/>
      <c r="G31" s="5"/>
      <c r="H31" s="5"/>
      <c r="I31" s="273"/>
    </row>
    <row r="32" ht="15.75" customHeight="1">
      <c r="A32" s="187"/>
      <c r="B32" s="5"/>
      <c r="C32" s="5"/>
      <c r="D32" s="5"/>
      <c r="E32" s="5"/>
      <c r="F32" s="5"/>
      <c r="G32" s="5"/>
      <c r="H32" s="5"/>
      <c r="I32" s="273"/>
    </row>
    <row r="33" ht="15.75" customHeight="1">
      <c r="A33" s="187"/>
      <c r="B33" s="5"/>
      <c r="C33" s="5"/>
      <c r="D33" s="5"/>
      <c r="E33" s="5"/>
      <c r="F33" s="5"/>
      <c r="G33" s="5"/>
      <c r="H33" s="5"/>
      <c r="I33" s="273"/>
    </row>
    <row r="34" ht="15.75" customHeight="1">
      <c r="A34" s="187"/>
      <c r="B34" s="5"/>
      <c r="C34" s="5"/>
      <c r="D34" s="5"/>
      <c r="E34" s="5"/>
      <c r="F34" s="5"/>
      <c r="G34" s="5"/>
      <c r="H34" s="5"/>
      <c r="I34" s="273"/>
    </row>
    <row r="35" ht="15.75" customHeight="1">
      <c r="A35" s="187"/>
      <c r="B35" s="5"/>
      <c r="C35" s="5"/>
      <c r="D35" s="5"/>
      <c r="E35" s="5"/>
      <c r="F35" s="5"/>
      <c r="G35" s="5"/>
      <c r="H35" s="5"/>
      <c r="I35" s="273"/>
    </row>
    <row r="36" ht="15.75" customHeight="1">
      <c r="A36" s="187"/>
      <c r="B36" s="5"/>
      <c r="C36" s="5"/>
      <c r="D36" s="5"/>
      <c r="E36" s="5"/>
      <c r="F36" s="5"/>
      <c r="G36" s="5"/>
      <c r="H36" s="5"/>
      <c r="I36" s="273"/>
    </row>
    <row r="37" ht="15.75" customHeight="1">
      <c r="A37" s="187"/>
      <c r="B37" s="5"/>
      <c r="C37" s="5"/>
      <c r="D37" s="5"/>
      <c r="E37" s="5"/>
      <c r="F37" s="5"/>
      <c r="G37" s="5"/>
      <c r="H37" s="5"/>
      <c r="I37" s="273"/>
    </row>
    <row r="38" ht="15.75" customHeight="1">
      <c r="A38" s="187"/>
      <c r="B38" s="5"/>
      <c r="C38" s="5"/>
      <c r="D38" s="5"/>
      <c r="E38" s="5"/>
      <c r="F38" s="5"/>
      <c r="G38" s="5"/>
      <c r="H38" s="5"/>
      <c r="I38" s="273"/>
    </row>
    <row r="39" ht="15.75" customHeight="1">
      <c r="A39" s="187"/>
      <c r="B39" s="5"/>
      <c r="C39" s="5"/>
      <c r="D39" s="5"/>
      <c r="E39" s="5"/>
      <c r="F39" s="5"/>
      <c r="G39" s="5"/>
      <c r="H39" s="5"/>
      <c r="I39" s="273"/>
    </row>
    <row r="40" ht="15.75" customHeight="1">
      <c r="A40" s="187"/>
      <c r="B40" s="5"/>
      <c r="C40" s="5"/>
      <c r="D40" s="5"/>
      <c r="E40" s="5"/>
      <c r="F40" s="5"/>
      <c r="G40" s="5"/>
      <c r="H40" s="5"/>
      <c r="I40" s="273"/>
    </row>
    <row r="41" ht="15.75" customHeight="1">
      <c r="A41" s="187"/>
      <c r="B41" s="5"/>
      <c r="C41" s="5"/>
      <c r="D41" s="5"/>
      <c r="E41" s="5"/>
      <c r="F41" s="5"/>
      <c r="G41" s="5"/>
      <c r="H41" s="5"/>
      <c r="I41" s="273"/>
    </row>
    <row r="42" ht="15.75" customHeight="1">
      <c r="A42" s="187"/>
      <c r="B42" s="5"/>
      <c r="C42" s="5"/>
      <c r="D42" s="5"/>
      <c r="E42" s="5"/>
      <c r="F42" s="5"/>
      <c r="G42" s="5"/>
      <c r="H42" s="5"/>
      <c r="I42" s="273"/>
    </row>
    <row r="43" ht="15.75" customHeight="1">
      <c r="A43" s="187"/>
      <c r="B43" s="5"/>
      <c r="C43" s="5"/>
      <c r="D43" s="5"/>
      <c r="E43" s="5"/>
      <c r="F43" s="5"/>
      <c r="G43" s="5"/>
      <c r="H43" s="5"/>
      <c r="I43" s="273"/>
    </row>
    <row r="44" ht="15.75" customHeight="1">
      <c r="A44" s="187"/>
      <c r="B44" s="5"/>
      <c r="C44" s="5"/>
      <c r="D44" s="5"/>
      <c r="E44" s="5"/>
      <c r="F44" s="5"/>
      <c r="G44" s="5"/>
      <c r="H44" s="5"/>
      <c r="I44" s="273"/>
    </row>
    <row r="45" ht="15.75" customHeight="1">
      <c r="A45" s="187"/>
      <c r="B45" s="5"/>
      <c r="C45" s="5"/>
      <c r="D45" s="5"/>
      <c r="E45" s="5"/>
      <c r="F45" s="5"/>
      <c r="G45" s="5"/>
      <c r="H45" s="5"/>
      <c r="I45" s="273"/>
    </row>
    <row r="46" ht="15.75" customHeight="1">
      <c r="A46" s="187"/>
      <c r="B46" s="5"/>
      <c r="C46" s="5"/>
      <c r="D46" s="5"/>
      <c r="E46" s="5"/>
      <c r="F46" s="5"/>
      <c r="G46" s="5"/>
      <c r="H46" s="5"/>
      <c r="I46" s="273"/>
    </row>
    <row r="47" ht="15.75" customHeight="1">
      <c r="A47" s="187"/>
      <c r="B47" s="5"/>
      <c r="C47" s="5"/>
      <c r="D47" s="5"/>
      <c r="E47" s="5"/>
      <c r="F47" s="5"/>
      <c r="G47" s="5"/>
      <c r="H47" s="5"/>
      <c r="I47" s="273"/>
    </row>
    <row r="48" ht="15.75" customHeight="1">
      <c r="A48" s="187"/>
      <c r="B48" s="5"/>
      <c r="C48" s="5"/>
      <c r="D48" s="5"/>
      <c r="E48" s="5"/>
      <c r="F48" s="5"/>
      <c r="G48" s="5"/>
      <c r="H48" s="5"/>
      <c r="I48" s="273"/>
    </row>
    <row r="49" ht="15.75" customHeight="1">
      <c r="A49" s="187"/>
      <c r="B49" s="5"/>
      <c r="C49" s="5"/>
      <c r="D49" s="5"/>
      <c r="E49" s="5"/>
      <c r="F49" s="5"/>
      <c r="G49" s="5"/>
      <c r="H49" s="5"/>
      <c r="I49" s="273"/>
    </row>
    <row r="50" ht="15.75" customHeight="1">
      <c r="A50" s="187"/>
      <c r="B50" s="5"/>
      <c r="C50" s="5"/>
      <c r="D50" s="5"/>
      <c r="E50" s="5"/>
      <c r="F50" s="5"/>
      <c r="G50" s="5"/>
      <c r="H50" s="5"/>
      <c r="I50" s="273"/>
    </row>
    <row r="51" ht="15.75" customHeight="1">
      <c r="A51" s="187"/>
      <c r="B51" s="5"/>
      <c r="C51" s="5"/>
      <c r="D51" s="5"/>
      <c r="E51" s="5"/>
      <c r="F51" s="5"/>
      <c r="G51" s="5"/>
      <c r="H51" s="5"/>
      <c r="I51" s="273"/>
    </row>
    <row r="52" ht="15.75" customHeight="1">
      <c r="A52" s="187"/>
      <c r="B52" s="5"/>
      <c r="C52" s="5"/>
      <c r="D52" s="5"/>
      <c r="E52" s="5"/>
      <c r="F52" s="5"/>
      <c r="G52" s="5"/>
      <c r="H52" s="5"/>
      <c r="I52" s="273"/>
    </row>
    <row r="53" ht="15.75" customHeight="1">
      <c r="A53" s="187"/>
      <c r="B53" s="5"/>
      <c r="C53" s="5"/>
      <c r="D53" s="5"/>
      <c r="E53" s="5"/>
      <c r="F53" s="5"/>
      <c r="G53" s="5"/>
      <c r="H53" s="5"/>
      <c r="I53" s="273"/>
    </row>
    <row r="54" ht="15.75" customHeight="1">
      <c r="A54" s="187"/>
      <c r="B54" s="5"/>
      <c r="C54" s="5"/>
      <c r="D54" s="5"/>
      <c r="E54" s="5"/>
      <c r="F54" s="5"/>
      <c r="G54" s="5"/>
      <c r="H54" s="5"/>
      <c r="I54" s="273"/>
    </row>
    <row r="55" ht="15.75" customHeight="1">
      <c r="A55" s="187"/>
      <c r="B55" s="5"/>
      <c r="C55" s="5"/>
      <c r="D55" s="5"/>
      <c r="E55" s="5"/>
      <c r="F55" s="5"/>
      <c r="G55" s="5"/>
      <c r="H55" s="5"/>
      <c r="I55" s="273"/>
    </row>
    <row r="56" ht="15.75" customHeight="1">
      <c r="A56" s="187"/>
      <c r="B56" s="5"/>
      <c r="C56" s="5"/>
      <c r="D56" s="5"/>
      <c r="E56" s="5"/>
      <c r="F56" s="5"/>
      <c r="G56" s="5"/>
      <c r="H56" s="5"/>
      <c r="I56" s="273"/>
    </row>
    <row r="57" ht="15.75" customHeight="1">
      <c r="A57" s="187"/>
      <c r="B57" s="5"/>
      <c r="C57" s="5"/>
      <c r="D57" s="5"/>
      <c r="E57" s="5"/>
      <c r="F57" s="5"/>
      <c r="G57" s="5"/>
      <c r="H57" s="5"/>
      <c r="I57" s="273"/>
    </row>
    <row r="58" ht="15.75" customHeight="1">
      <c r="A58" s="187"/>
      <c r="B58" s="5"/>
      <c r="C58" s="5"/>
      <c r="D58" s="5"/>
      <c r="E58" s="5"/>
      <c r="F58" s="5"/>
      <c r="G58" s="5"/>
      <c r="H58" s="5"/>
      <c r="I58" s="273"/>
    </row>
    <row r="59" ht="15.75" customHeight="1">
      <c r="A59" s="187"/>
      <c r="B59" s="5"/>
      <c r="C59" s="5"/>
      <c r="D59" s="5"/>
      <c r="E59" s="5"/>
      <c r="F59" s="5"/>
      <c r="G59" s="5"/>
      <c r="H59" s="5"/>
      <c r="I59" s="273"/>
    </row>
    <row r="60" ht="15.75" customHeight="1">
      <c r="A60" s="187"/>
      <c r="B60" s="5"/>
      <c r="C60" s="5"/>
      <c r="D60" s="5"/>
      <c r="E60" s="5"/>
      <c r="F60" s="5"/>
      <c r="G60" s="5"/>
      <c r="H60" s="5"/>
      <c r="I60" s="273"/>
    </row>
    <row r="61" ht="15.75" customHeight="1">
      <c r="A61" s="187"/>
      <c r="B61" s="5"/>
      <c r="C61" s="5"/>
      <c r="D61" s="5"/>
      <c r="E61" s="5"/>
      <c r="F61" s="5"/>
      <c r="G61" s="5"/>
      <c r="H61" s="5"/>
      <c r="I61" s="273"/>
    </row>
    <row r="62" ht="15.75" customHeight="1">
      <c r="A62" s="187"/>
      <c r="B62" s="5"/>
      <c r="C62" s="5"/>
      <c r="D62" s="5"/>
      <c r="E62" s="5"/>
      <c r="F62" s="5"/>
      <c r="G62" s="5"/>
      <c r="H62" s="5"/>
      <c r="I62" s="273"/>
    </row>
    <row r="63" ht="15.75" customHeight="1">
      <c r="A63" s="187"/>
      <c r="B63" s="5"/>
      <c r="C63" s="5"/>
      <c r="D63" s="5"/>
      <c r="E63" s="5"/>
      <c r="F63" s="5"/>
      <c r="G63" s="5"/>
      <c r="H63" s="5"/>
      <c r="I63" s="273"/>
    </row>
    <row r="64" ht="15.75" customHeight="1">
      <c r="A64" s="187"/>
      <c r="B64" s="5"/>
      <c r="C64" s="5"/>
      <c r="D64" s="5"/>
      <c r="E64" s="5"/>
      <c r="F64" s="5"/>
      <c r="G64" s="5"/>
      <c r="H64" s="5"/>
      <c r="I64" s="273"/>
    </row>
    <row r="65" ht="15.75" customHeight="1">
      <c r="A65" s="187"/>
      <c r="B65" s="5"/>
      <c r="C65" s="5"/>
      <c r="D65" s="5"/>
      <c r="E65" s="5"/>
      <c r="F65" s="5"/>
      <c r="G65" s="5"/>
      <c r="H65" s="5"/>
      <c r="I65" s="273"/>
    </row>
    <row r="66" ht="15.75" customHeight="1">
      <c r="A66" s="187"/>
      <c r="B66" s="5"/>
      <c r="C66" s="5"/>
      <c r="D66" s="5"/>
      <c r="E66" s="5"/>
      <c r="F66" s="5"/>
      <c r="G66" s="5"/>
      <c r="H66" s="5"/>
      <c r="I66" s="273"/>
    </row>
    <row r="67" ht="15.75" customHeight="1">
      <c r="A67" s="187"/>
      <c r="B67" s="5"/>
      <c r="C67" s="5"/>
      <c r="D67" s="5"/>
      <c r="E67" s="5"/>
      <c r="F67" s="5"/>
      <c r="G67" s="5"/>
      <c r="H67" s="5"/>
      <c r="I67" s="273"/>
    </row>
    <row r="68" ht="15.75" customHeight="1">
      <c r="A68" s="187"/>
      <c r="B68" s="5"/>
      <c r="C68" s="5"/>
      <c r="D68" s="5"/>
      <c r="E68" s="5"/>
      <c r="F68" s="5"/>
      <c r="G68" s="5"/>
      <c r="H68" s="5"/>
      <c r="I68" s="273"/>
    </row>
    <row r="69" ht="15.75" customHeight="1">
      <c r="A69" s="187"/>
      <c r="B69" s="5"/>
      <c r="C69" s="5"/>
      <c r="D69" s="5"/>
      <c r="E69" s="5"/>
      <c r="F69" s="5"/>
      <c r="G69" s="5"/>
      <c r="H69" s="5"/>
      <c r="I69" s="273"/>
    </row>
    <row r="70" ht="15.75" customHeight="1">
      <c r="A70" s="187"/>
      <c r="B70" s="5"/>
      <c r="C70" s="5"/>
      <c r="D70" s="5"/>
      <c r="E70" s="5"/>
      <c r="F70" s="5"/>
      <c r="G70" s="5"/>
      <c r="H70" s="5"/>
      <c r="I70" s="273"/>
    </row>
    <row r="71" ht="15.75" customHeight="1">
      <c r="A71" s="187"/>
      <c r="B71" s="5"/>
      <c r="C71" s="5"/>
      <c r="D71" s="5"/>
      <c r="E71" s="5"/>
      <c r="F71" s="5"/>
      <c r="G71" s="5"/>
      <c r="H71" s="5"/>
      <c r="I71" s="273"/>
    </row>
    <row r="72" ht="15.75" customHeight="1">
      <c r="A72" s="187"/>
      <c r="B72" s="5"/>
      <c r="C72" s="5"/>
      <c r="D72" s="5"/>
      <c r="E72" s="5"/>
      <c r="F72" s="5"/>
      <c r="G72" s="5"/>
      <c r="H72" s="5"/>
      <c r="I72" s="273"/>
    </row>
    <row r="73" ht="15.75" customHeight="1">
      <c r="A73" s="187"/>
      <c r="B73" s="5"/>
      <c r="C73" s="5"/>
      <c r="D73" s="5"/>
      <c r="E73" s="5"/>
      <c r="F73" s="5"/>
      <c r="G73" s="5"/>
      <c r="H73" s="5"/>
      <c r="I73" s="273"/>
    </row>
    <row r="74" ht="15.75" customHeight="1">
      <c r="A74" s="187"/>
      <c r="B74" s="5"/>
      <c r="C74" s="5"/>
      <c r="D74" s="5"/>
      <c r="E74" s="5"/>
      <c r="F74" s="5"/>
      <c r="G74" s="5"/>
      <c r="H74" s="5"/>
      <c r="I74" s="273"/>
    </row>
    <row r="75" ht="15.75" customHeight="1">
      <c r="A75" s="187"/>
      <c r="B75" s="5"/>
      <c r="C75" s="5"/>
      <c r="D75" s="5"/>
      <c r="E75" s="5"/>
      <c r="F75" s="5"/>
      <c r="G75" s="5"/>
      <c r="H75" s="5"/>
      <c r="I75" s="273"/>
    </row>
    <row r="76" ht="15.75" customHeight="1">
      <c r="A76" s="187"/>
      <c r="B76" s="5"/>
      <c r="C76" s="5"/>
      <c r="D76" s="5"/>
      <c r="E76" s="5"/>
      <c r="F76" s="5"/>
      <c r="G76" s="5"/>
      <c r="H76" s="5"/>
      <c r="I76" s="273"/>
    </row>
    <row r="77" ht="15.75" customHeight="1">
      <c r="A77" s="187"/>
      <c r="B77" s="5"/>
      <c r="C77" s="5"/>
      <c r="D77" s="5"/>
      <c r="E77" s="5"/>
      <c r="F77" s="5"/>
      <c r="G77" s="5"/>
      <c r="H77" s="5"/>
      <c r="I77" s="273"/>
    </row>
    <row r="78" ht="15.75" customHeight="1">
      <c r="A78" s="187"/>
      <c r="B78" s="5"/>
      <c r="C78" s="5"/>
      <c r="D78" s="5"/>
      <c r="E78" s="5"/>
      <c r="F78" s="5"/>
      <c r="G78" s="5"/>
      <c r="H78" s="5"/>
      <c r="I78" s="273"/>
    </row>
    <row r="79" ht="15.75" customHeight="1">
      <c r="A79" s="187"/>
      <c r="B79" s="5"/>
      <c r="C79" s="5"/>
      <c r="D79" s="5"/>
      <c r="E79" s="5"/>
      <c r="F79" s="5"/>
      <c r="G79" s="5"/>
      <c r="H79" s="5"/>
      <c r="I79" s="273"/>
    </row>
    <row r="80" ht="15.75" customHeight="1">
      <c r="A80" s="187"/>
      <c r="B80" s="5"/>
      <c r="C80" s="5"/>
      <c r="D80" s="5"/>
      <c r="E80" s="5"/>
      <c r="F80" s="5"/>
      <c r="G80" s="5"/>
      <c r="H80" s="5"/>
      <c r="I80" s="273"/>
    </row>
    <row r="81" ht="15.75" customHeight="1">
      <c r="A81" s="187"/>
      <c r="B81" s="5"/>
      <c r="C81" s="5"/>
      <c r="D81" s="5"/>
      <c r="E81" s="5"/>
      <c r="F81" s="5"/>
      <c r="G81" s="5"/>
      <c r="H81" s="5"/>
      <c r="I81" s="273"/>
    </row>
    <row r="82" ht="15.75" customHeight="1">
      <c r="A82" s="187"/>
      <c r="B82" s="5"/>
      <c r="C82" s="5"/>
      <c r="D82" s="5"/>
      <c r="E82" s="5"/>
      <c r="F82" s="5"/>
      <c r="G82" s="5"/>
      <c r="H82" s="5"/>
      <c r="I82" s="273"/>
    </row>
    <row r="83" ht="15.75" customHeight="1">
      <c r="A83" s="187"/>
      <c r="B83" s="5"/>
      <c r="C83" s="5"/>
      <c r="D83" s="5"/>
      <c r="E83" s="5"/>
      <c r="F83" s="5"/>
      <c r="G83" s="5"/>
      <c r="H83" s="5"/>
      <c r="I83" s="273"/>
    </row>
    <row r="84" ht="15.75" customHeight="1">
      <c r="A84" s="187"/>
      <c r="B84" s="5"/>
      <c r="C84" s="5"/>
      <c r="D84" s="5"/>
      <c r="E84" s="5"/>
      <c r="F84" s="5"/>
      <c r="G84" s="5"/>
      <c r="H84" s="5"/>
      <c r="I84" s="273"/>
    </row>
    <row r="85" ht="15.75" customHeight="1">
      <c r="A85" s="187"/>
      <c r="B85" s="5"/>
      <c r="C85" s="5"/>
      <c r="D85" s="5"/>
      <c r="E85" s="5"/>
      <c r="F85" s="5"/>
      <c r="G85" s="5"/>
      <c r="H85" s="5"/>
      <c r="I85" s="273"/>
    </row>
    <row r="86" ht="15.75" customHeight="1">
      <c r="A86" s="187"/>
      <c r="B86" s="5"/>
      <c r="C86" s="5"/>
      <c r="D86" s="5"/>
      <c r="E86" s="5"/>
      <c r="F86" s="5"/>
      <c r="G86" s="5"/>
      <c r="H86" s="5"/>
      <c r="I86" s="273"/>
    </row>
    <row r="87" ht="15.75" customHeight="1">
      <c r="A87" s="187"/>
      <c r="B87" s="5"/>
      <c r="C87" s="5"/>
      <c r="D87" s="5"/>
      <c r="E87" s="5"/>
      <c r="F87" s="5"/>
      <c r="G87" s="5"/>
      <c r="H87" s="5"/>
      <c r="I87" s="273"/>
    </row>
    <row r="88" ht="15.75" customHeight="1">
      <c r="A88" s="187"/>
      <c r="B88" s="5"/>
      <c r="C88" s="5"/>
      <c r="D88" s="5"/>
      <c r="E88" s="5"/>
      <c r="F88" s="5"/>
      <c r="G88" s="5"/>
      <c r="H88" s="5"/>
      <c r="I88" s="273"/>
    </row>
    <row r="89" ht="15.75" customHeight="1">
      <c r="A89" s="187"/>
      <c r="B89" s="5"/>
      <c r="C89" s="5"/>
      <c r="D89" s="5"/>
      <c r="E89" s="5"/>
      <c r="F89" s="5"/>
      <c r="G89" s="5"/>
      <c r="H89" s="5"/>
      <c r="I89" s="273"/>
    </row>
    <row r="90" ht="15.75" customHeight="1">
      <c r="A90" s="187"/>
      <c r="B90" s="5"/>
      <c r="C90" s="5"/>
      <c r="D90" s="5"/>
      <c r="E90" s="5"/>
      <c r="F90" s="5"/>
      <c r="G90" s="5"/>
      <c r="H90" s="5"/>
      <c r="I90" s="273"/>
    </row>
    <row r="91" ht="15.75" customHeight="1">
      <c r="A91" s="187"/>
      <c r="B91" s="5"/>
      <c r="C91" s="5"/>
      <c r="D91" s="5"/>
      <c r="E91" s="5"/>
      <c r="F91" s="5"/>
      <c r="G91" s="5"/>
      <c r="H91" s="5"/>
      <c r="I91" s="273"/>
    </row>
    <row r="92" ht="15.75" customHeight="1">
      <c r="A92" s="187"/>
      <c r="B92" s="5"/>
      <c r="C92" s="5"/>
      <c r="D92" s="5"/>
      <c r="E92" s="5"/>
      <c r="F92" s="5"/>
      <c r="G92" s="5"/>
      <c r="H92" s="5"/>
      <c r="I92" s="273"/>
    </row>
    <row r="93" ht="15.75" customHeight="1">
      <c r="A93" s="187"/>
      <c r="B93" s="5"/>
      <c r="C93" s="5"/>
      <c r="D93" s="5"/>
      <c r="E93" s="5"/>
      <c r="F93" s="5"/>
      <c r="G93" s="5"/>
      <c r="H93" s="5"/>
      <c r="I93" s="273"/>
    </row>
    <row r="94" ht="15.75" customHeight="1">
      <c r="A94" s="187"/>
      <c r="B94" s="5"/>
      <c r="C94" s="5"/>
      <c r="D94" s="5"/>
      <c r="E94" s="5"/>
      <c r="F94" s="5"/>
      <c r="G94" s="5"/>
      <c r="H94" s="5"/>
      <c r="I94" s="273"/>
    </row>
    <row r="95" ht="15.75" customHeight="1">
      <c r="A95" s="187"/>
      <c r="B95" s="5"/>
      <c r="C95" s="5"/>
      <c r="D95" s="5"/>
      <c r="E95" s="5"/>
      <c r="F95" s="5"/>
      <c r="G95" s="5"/>
      <c r="H95" s="5"/>
      <c r="I95" s="273"/>
    </row>
    <row r="96" ht="15.75" customHeight="1">
      <c r="A96" s="187"/>
      <c r="B96" s="5"/>
      <c r="C96" s="5"/>
      <c r="D96" s="5"/>
      <c r="E96" s="5"/>
      <c r="F96" s="5"/>
      <c r="G96" s="5"/>
      <c r="H96" s="5"/>
      <c r="I96" s="273"/>
    </row>
    <row r="97" ht="15.75" customHeight="1">
      <c r="A97" s="187"/>
      <c r="B97" s="5"/>
      <c r="C97" s="5"/>
      <c r="D97" s="5"/>
      <c r="E97" s="5"/>
      <c r="F97" s="5"/>
      <c r="G97" s="5"/>
      <c r="H97" s="5"/>
      <c r="I97" s="273"/>
    </row>
    <row r="98" ht="15.75" customHeight="1">
      <c r="A98" s="187"/>
      <c r="B98" s="5"/>
      <c r="C98" s="5"/>
      <c r="D98" s="5"/>
      <c r="E98" s="5"/>
      <c r="F98" s="5"/>
      <c r="G98" s="5"/>
      <c r="H98" s="5"/>
      <c r="I98" s="273"/>
    </row>
    <row r="99" ht="15.75" customHeight="1">
      <c r="A99" s="187"/>
      <c r="B99" s="5"/>
      <c r="C99" s="5"/>
      <c r="D99" s="5"/>
      <c r="E99" s="5"/>
      <c r="F99" s="5"/>
      <c r="G99" s="5"/>
      <c r="H99" s="5"/>
      <c r="I99" s="273"/>
    </row>
    <row r="100" ht="15.75" customHeight="1">
      <c r="A100" s="187"/>
      <c r="B100" s="5"/>
      <c r="C100" s="5"/>
      <c r="D100" s="5"/>
      <c r="E100" s="5"/>
      <c r="F100" s="5"/>
      <c r="G100" s="5"/>
      <c r="H100" s="5"/>
      <c r="I100" s="273"/>
    </row>
    <row r="101" ht="15.75" customHeight="1">
      <c r="A101" s="187"/>
      <c r="B101" s="5"/>
      <c r="C101" s="5"/>
      <c r="D101" s="5"/>
      <c r="E101" s="5"/>
      <c r="F101" s="5"/>
      <c r="G101" s="5"/>
      <c r="H101" s="5"/>
      <c r="I101" s="273"/>
    </row>
    <row r="102" ht="15.75" customHeight="1">
      <c r="A102" s="187"/>
      <c r="B102" s="5"/>
      <c r="C102" s="5"/>
      <c r="D102" s="5"/>
      <c r="E102" s="5"/>
      <c r="F102" s="5"/>
      <c r="G102" s="5"/>
      <c r="H102" s="5"/>
      <c r="I102" s="273"/>
    </row>
    <row r="103" ht="15.75" customHeight="1">
      <c r="A103" s="187"/>
      <c r="B103" s="5"/>
      <c r="C103" s="5"/>
      <c r="D103" s="5"/>
      <c r="E103" s="5"/>
      <c r="F103" s="5"/>
      <c r="G103" s="5"/>
      <c r="H103" s="5"/>
      <c r="I103" s="273"/>
    </row>
    <row r="104" ht="15.75" customHeight="1">
      <c r="A104" s="187"/>
      <c r="B104" s="5"/>
      <c r="C104" s="5"/>
      <c r="D104" s="5"/>
      <c r="E104" s="5"/>
      <c r="F104" s="5"/>
      <c r="G104" s="5"/>
      <c r="H104" s="5"/>
      <c r="I104" s="273"/>
    </row>
    <row r="105" ht="15.75" customHeight="1">
      <c r="A105" s="187"/>
      <c r="B105" s="5"/>
      <c r="C105" s="5"/>
      <c r="D105" s="5"/>
      <c r="E105" s="5"/>
      <c r="F105" s="5"/>
      <c r="G105" s="5"/>
      <c r="H105" s="5"/>
      <c r="I105" s="273"/>
    </row>
    <row r="106" ht="15.75" customHeight="1">
      <c r="A106" s="187"/>
      <c r="B106" s="5"/>
      <c r="C106" s="5"/>
      <c r="D106" s="5"/>
      <c r="E106" s="5"/>
      <c r="F106" s="5"/>
      <c r="G106" s="5"/>
      <c r="H106" s="5"/>
      <c r="I106" s="273"/>
    </row>
    <row r="107" ht="15.75" customHeight="1">
      <c r="A107" s="187"/>
      <c r="B107" s="5"/>
      <c r="C107" s="5"/>
      <c r="D107" s="5"/>
      <c r="E107" s="5"/>
      <c r="F107" s="5"/>
      <c r="G107" s="5"/>
      <c r="H107" s="5"/>
      <c r="I107" s="273"/>
    </row>
    <row r="108" ht="15.75" customHeight="1">
      <c r="A108" s="187"/>
      <c r="B108" s="5"/>
      <c r="C108" s="5"/>
      <c r="D108" s="5"/>
      <c r="E108" s="5"/>
      <c r="F108" s="5"/>
      <c r="G108" s="5"/>
      <c r="H108" s="5"/>
      <c r="I108" s="273"/>
    </row>
    <row r="109" ht="15.75" customHeight="1">
      <c r="A109" s="187"/>
      <c r="B109" s="5"/>
      <c r="C109" s="5"/>
      <c r="D109" s="5"/>
      <c r="E109" s="5"/>
      <c r="F109" s="5"/>
      <c r="G109" s="5"/>
      <c r="H109" s="5"/>
      <c r="I109" s="273"/>
    </row>
    <row r="110" ht="15.75" customHeight="1">
      <c r="A110" s="187"/>
      <c r="B110" s="5"/>
      <c r="C110" s="5"/>
      <c r="D110" s="5"/>
      <c r="E110" s="5"/>
      <c r="F110" s="5"/>
      <c r="G110" s="5"/>
      <c r="H110" s="5"/>
      <c r="I110" s="273"/>
    </row>
    <row r="111" ht="15.75" customHeight="1">
      <c r="A111" s="187"/>
      <c r="B111" s="5"/>
      <c r="C111" s="5"/>
      <c r="D111" s="5"/>
      <c r="E111" s="5"/>
      <c r="F111" s="5"/>
      <c r="G111" s="5"/>
      <c r="H111" s="5"/>
      <c r="I111" s="273"/>
    </row>
    <row r="112" ht="15.75" customHeight="1">
      <c r="A112" s="187"/>
      <c r="B112" s="5"/>
      <c r="C112" s="5"/>
      <c r="D112" s="5"/>
      <c r="E112" s="5"/>
      <c r="F112" s="5"/>
      <c r="G112" s="5"/>
      <c r="H112" s="5"/>
      <c r="I112" s="273"/>
    </row>
    <row r="113" ht="15.75" customHeight="1">
      <c r="A113" s="187"/>
      <c r="B113" s="5"/>
      <c r="C113" s="5"/>
      <c r="D113" s="5"/>
      <c r="E113" s="5"/>
      <c r="F113" s="5"/>
      <c r="G113" s="5"/>
      <c r="H113" s="5"/>
      <c r="I113" s="273"/>
    </row>
    <row r="114" ht="15.75" customHeight="1">
      <c r="A114" s="187"/>
      <c r="B114" s="5"/>
      <c r="C114" s="5"/>
      <c r="D114" s="5"/>
      <c r="E114" s="5"/>
      <c r="F114" s="5"/>
      <c r="G114" s="5"/>
      <c r="H114" s="5"/>
      <c r="I114" s="273"/>
    </row>
    <row r="115" ht="15.75" customHeight="1">
      <c r="A115" s="187"/>
      <c r="B115" s="5"/>
      <c r="C115" s="5"/>
      <c r="D115" s="5"/>
      <c r="E115" s="5"/>
      <c r="F115" s="5"/>
      <c r="G115" s="5"/>
      <c r="H115" s="5"/>
      <c r="I115" s="273"/>
    </row>
    <row r="116" ht="15.75" customHeight="1">
      <c r="A116" s="187"/>
      <c r="B116" s="5"/>
      <c r="C116" s="5"/>
      <c r="D116" s="5"/>
      <c r="E116" s="5"/>
      <c r="F116" s="5"/>
      <c r="G116" s="5"/>
      <c r="H116" s="5"/>
      <c r="I116" s="273"/>
    </row>
    <row r="117" ht="15.75" customHeight="1">
      <c r="A117" s="187"/>
      <c r="B117" s="5"/>
      <c r="C117" s="5"/>
      <c r="D117" s="5"/>
      <c r="E117" s="5"/>
      <c r="F117" s="5"/>
      <c r="G117" s="5"/>
      <c r="H117" s="5"/>
      <c r="I117" s="273"/>
    </row>
    <row r="118" ht="15.75" customHeight="1">
      <c r="A118" s="187"/>
      <c r="B118" s="5"/>
      <c r="C118" s="5"/>
      <c r="D118" s="5"/>
      <c r="E118" s="5"/>
      <c r="F118" s="5"/>
      <c r="G118" s="5"/>
      <c r="H118" s="5"/>
      <c r="I118" s="273"/>
    </row>
    <row r="119" ht="15.75" customHeight="1">
      <c r="A119" s="187"/>
      <c r="B119" s="5"/>
      <c r="C119" s="5"/>
      <c r="D119" s="5"/>
      <c r="E119" s="5"/>
      <c r="F119" s="5"/>
      <c r="G119" s="5"/>
      <c r="H119" s="5"/>
      <c r="I119" s="273"/>
    </row>
    <row r="120" ht="15.75" customHeight="1">
      <c r="A120" s="187"/>
      <c r="B120" s="5"/>
      <c r="C120" s="5"/>
      <c r="D120" s="5"/>
      <c r="E120" s="5"/>
      <c r="F120" s="5"/>
      <c r="G120" s="5"/>
      <c r="H120" s="5"/>
      <c r="I120" s="273"/>
    </row>
    <row r="121" ht="15.75" customHeight="1">
      <c r="A121" s="187"/>
      <c r="B121" s="5"/>
      <c r="C121" s="5"/>
      <c r="D121" s="5"/>
      <c r="E121" s="5"/>
      <c r="F121" s="5"/>
      <c r="G121" s="5"/>
      <c r="H121" s="5"/>
      <c r="I121" s="273"/>
    </row>
    <row r="122" ht="15.75" customHeight="1">
      <c r="A122" s="187"/>
      <c r="B122" s="5"/>
      <c r="C122" s="5"/>
      <c r="D122" s="5"/>
      <c r="E122" s="5"/>
      <c r="F122" s="5"/>
      <c r="G122" s="5"/>
      <c r="H122" s="5"/>
      <c r="I122" s="273"/>
    </row>
    <row r="123" ht="15.75" customHeight="1">
      <c r="A123" s="187"/>
      <c r="B123" s="5"/>
      <c r="C123" s="5"/>
      <c r="D123" s="5"/>
      <c r="E123" s="5"/>
      <c r="F123" s="5"/>
      <c r="G123" s="5"/>
      <c r="H123" s="5"/>
      <c r="I123" s="273"/>
    </row>
    <row r="124" ht="15.75" customHeight="1">
      <c r="A124" s="187"/>
      <c r="B124" s="5"/>
      <c r="C124" s="5"/>
      <c r="D124" s="5"/>
      <c r="E124" s="5"/>
      <c r="F124" s="5"/>
      <c r="G124" s="5"/>
      <c r="H124" s="5"/>
      <c r="I124" s="273"/>
    </row>
    <row r="125" ht="15.75" customHeight="1">
      <c r="A125" s="187"/>
      <c r="B125" s="5"/>
      <c r="C125" s="5"/>
      <c r="D125" s="5"/>
      <c r="E125" s="5"/>
      <c r="F125" s="5"/>
      <c r="G125" s="5"/>
      <c r="H125" s="5"/>
      <c r="I125" s="273"/>
    </row>
    <row r="126" ht="15.75" customHeight="1">
      <c r="A126" s="187"/>
      <c r="B126" s="5"/>
      <c r="C126" s="5"/>
      <c r="D126" s="5"/>
      <c r="E126" s="5"/>
      <c r="F126" s="5"/>
      <c r="G126" s="5"/>
      <c r="H126" s="5"/>
      <c r="I126" s="273"/>
    </row>
    <row r="127" ht="15.75" customHeight="1">
      <c r="A127" s="187"/>
      <c r="B127" s="5"/>
      <c r="C127" s="5"/>
      <c r="D127" s="5"/>
      <c r="E127" s="5"/>
      <c r="F127" s="5"/>
      <c r="G127" s="5"/>
      <c r="H127" s="5"/>
      <c r="I127" s="273"/>
    </row>
    <row r="128" ht="15.75" customHeight="1">
      <c r="A128" s="187"/>
      <c r="B128" s="5"/>
      <c r="C128" s="5"/>
      <c r="D128" s="5"/>
      <c r="E128" s="5"/>
      <c r="F128" s="5"/>
      <c r="G128" s="5"/>
      <c r="H128" s="5"/>
      <c r="I128" s="273"/>
    </row>
    <row r="129" ht="15.75" customHeight="1">
      <c r="A129" s="187"/>
      <c r="B129" s="5"/>
      <c r="C129" s="5"/>
      <c r="D129" s="5"/>
      <c r="E129" s="5"/>
      <c r="F129" s="5"/>
      <c r="G129" s="5"/>
      <c r="H129" s="5"/>
      <c r="I129" s="273"/>
    </row>
    <row r="130" ht="15.75" customHeight="1">
      <c r="A130" s="187"/>
      <c r="B130" s="5"/>
      <c r="C130" s="5"/>
      <c r="D130" s="5"/>
      <c r="E130" s="5"/>
      <c r="F130" s="5"/>
      <c r="G130" s="5"/>
      <c r="H130" s="5"/>
      <c r="I130" s="273"/>
    </row>
    <row r="131" ht="15.75" customHeight="1">
      <c r="A131" s="187"/>
      <c r="B131" s="5"/>
      <c r="C131" s="5"/>
      <c r="D131" s="5"/>
      <c r="E131" s="5"/>
      <c r="F131" s="5"/>
      <c r="G131" s="5"/>
      <c r="H131" s="5"/>
      <c r="I131" s="273"/>
    </row>
    <row r="132" ht="15.75" customHeight="1">
      <c r="A132" s="187"/>
      <c r="B132" s="5"/>
      <c r="C132" s="5"/>
      <c r="D132" s="5"/>
      <c r="E132" s="5"/>
      <c r="F132" s="5"/>
      <c r="G132" s="5"/>
      <c r="H132" s="5"/>
      <c r="I132" s="273"/>
    </row>
    <row r="133" ht="15.75" customHeight="1">
      <c r="A133" s="187"/>
      <c r="B133" s="5"/>
      <c r="C133" s="5"/>
      <c r="D133" s="5"/>
      <c r="E133" s="5"/>
      <c r="F133" s="5"/>
      <c r="G133" s="5"/>
      <c r="H133" s="5"/>
      <c r="I133" s="273"/>
    </row>
    <row r="134" ht="15.75" customHeight="1">
      <c r="A134" s="187"/>
      <c r="B134" s="5"/>
      <c r="C134" s="5"/>
      <c r="D134" s="5"/>
      <c r="E134" s="5"/>
      <c r="F134" s="5"/>
      <c r="G134" s="5"/>
      <c r="H134" s="5"/>
      <c r="I134" s="273"/>
    </row>
    <row r="135" ht="15.75" customHeight="1">
      <c r="A135" s="187"/>
      <c r="B135" s="5"/>
      <c r="C135" s="5"/>
      <c r="D135" s="5"/>
      <c r="E135" s="5"/>
      <c r="F135" s="5"/>
      <c r="G135" s="5"/>
      <c r="H135" s="5"/>
      <c r="I135" s="273"/>
    </row>
    <row r="136" ht="15.75" customHeight="1">
      <c r="A136" s="187"/>
      <c r="B136" s="5"/>
      <c r="C136" s="5"/>
      <c r="D136" s="5"/>
      <c r="E136" s="5"/>
      <c r="F136" s="5"/>
      <c r="G136" s="5"/>
      <c r="H136" s="5"/>
      <c r="I136" s="273"/>
    </row>
    <row r="137" ht="15.75" customHeight="1">
      <c r="A137" s="187"/>
      <c r="B137" s="5"/>
      <c r="C137" s="5"/>
      <c r="D137" s="5"/>
      <c r="E137" s="5"/>
      <c r="F137" s="5"/>
      <c r="G137" s="5"/>
      <c r="H137" s="5"/>
      <c r="I137" s="273"/>
    </row>
    <row r="138" ht="15.75" customHeight="1">
      <c r="A138" s="187"/>
      <c r="B138" s="5"/>
      <c r="C138" s="5"/>
      <c r="D138" s="5"/>
      <c r="E138" s="5"/>
      <c r="F138" s="5"/>
      <c r="G138" s="5"/>
      <c r="H138" s="5"/>
      <c r="I138" s="273"/>
    </row>
    <row r="139" ht="15.75" customHeight="1">
      <c r="A139" s="187"/>
      <c r="B139" s="5"/>
      <c r="C139" s="5"/>
      <c r="D139" s="5"/>
      <c r="E139" s="5"/>
      <c r="F139" s="5"/>
      <c r="G139" s="5"/>
      <c r="H139" s="5"/>
      <c r="I139" s="273"/>
    </row>
    <row r="140" ht="15.75" customHeight="1">
      <c r="A140" s="187"/>
      <c r="B140" s="5"/>
      <c r="C140" s="5"/>
      <c r="D140" s="5"/>
      <c r="E140" s="5"/>
      <c r="F140" s="5"/>
      <c r="G140" s="5"/>
      <c r="H140" s="5"/>
      <c r="I140" s="273"/>
    </row>
    <row r="141" ht="15.75" customHeight="1">
      <c r="A141" s="187"/>
      <c r="B141" s="5"/>
      <c r="C141" s="5"/>
      <c r="D141" s="5"/>
      <c r="E141" s="5"/>
      <c r="F141" s="5"/>
      <c r="G141" s="5"/>
      <c r="H141" s="5"/>
      <c r="I141" s="273"/>
    </row>
    <row r="142" ht="15.75" customHeight="1">
      <c r="A142" s="187"/>
      <c r="B142" s="5"/>
      <c r="C142" s="5"/>
      <c r="D142" s="5"/>
      <c r="E142" s="5"/>
      <c r="F142" s="5"/>
      <c r="G142" s="5"/>
      <c r="H142" s="5"/>
      <c r="I142" s="273"/>
    </row>
    <row r="143" ht="15.75" customHeight="1">
      <c r="A143" s="187"/>
      <c r="B143" s="5"/>
      <c r="C143" s="5"/>
      <c r="D143" s="5"/>
      <c r="E143" s="5"/>
      <c r="F143" s="5"/>
      <c r="G143" s="5"/>
      <c r="H143" s="5"/>
      <c r="I143" s="273"/>
    </row>
    <row r="144" ht="15.75" customHeight="1">
      <c r="A144" s="187"/>
      <c r="B144" s="5"/>
      <c r="C144" s="5"/>
      <c r="D144" s="5"/>
      <c r="E144" s="5"/>
      <c r="F144" s="5"/>
      <c r="G144" s="5"/>
      <c r="H144" s="5"/>
      <c r="I144" s="273"/>
    </row>
    <row r="145" ht="15.75" customHeight="1">
      <c r="A145" s="187"/>
      <c r="B145" s="5"/>
      <c r="C145" s="5"/>
      <c r="D145" s="5"/>
      <c r="E145" s="5"/>
      <c r="F145" s="5"/>
      <c r="G145" s="5"/>
      <c r="H145" s="5"/>
      <c r="I145" s="273"/>
    </row>
    <row r="146" ht="15.75" customHeight="1">
      <c r="A146" s="187"/>
      <c r="B146" s="5"/>
      <c r="C146" s="5"/>
      <c r="D146" s="5"/>
      <c r="E146" s="5"/>
      <c r="F146" s="5"/>
      <c r="G146" s="5"/>
      <c r="H146" s="5"/>
      <c r="I146" s="273"/>
    </row>
    <row r="147" ht="15.75" customHeight="1">
      <c r="A147" s="187"/>
      <c r="B147" s="5"/>
      <c r="C147" s="5"/>
      <c r="D147" s="5"/>
      <c r="E147" s="5"/>
      <c r="F147" s="5"/>
      <c r="G147" s="5"/>
      <c r="H147" s="5"/>
      <c r="I147" s="273"/>
    </row>
    <row r="148" ht="15.75" customHeight="1">
      <c r="A148" s="187"/>
      <c r="B148" s="5"/>
      <c r="C148" s="5"/>
      <c r="D148" s="5"/>
      <c r="E148" s="5"/>
      <c r="F148" s="5"/>
      <c r="G148" s="5"/>
      <c r="H148" s="5"/>
      <c r="I148" s="273"/>
    </row>
    <row r="149" ht="15.75" customHeight="1">
      <c r="A149" s="187"/>
      <c r="B149" s="5"/>
      <c r="C149" s="5"/>
      <c r="D149" s="5"/>
      <c r="E149" s="5"/>
      <c r="F149" s="5"/>
      <c r="G149" s="5"/>
      <c r="H149" s="5"/>
      <c r="I149" s="273"/>
    </row>
    <row r="150" ht="15.75" customHeight="1">
      <c r="A150" s="187"/>
      <c r="B150" s="5"/>
      <c r="C150" s="5"/>
      <c r="D150" s="5"/>
      <c r="E150" s="5"/>
      <c r="F150" s="5"/>
      <c r="G150" s="5"/>
      <c r="H150" s="5"/>
      <c r="I150" s="273"/>
    </row>
    <row r="151" ht="15.75" customHeight="1">
      <c r="A151" s="187"/>
      <c r="B151" s="5"/>
      <c r="C151" s="5"/>
      <c r="D151" s="5"/>
      <c r="E151" s="5"/>
      <c r="F151" s="5"/>
      <c r="G151" s="5"/>
      <c r="H151" s="5"/>
      <c r="I151" s="273"/>
    </row>
    <row r="152" ht="15.75" customHeight="1">
      <c r="A152" s="187"/>
      <c r="B152" s="5"/>
      <c r="C152" s="5"/>
      <c r="D152" s="5"/>
      <c r="E152" s="5"/>
      <c r="F152" s="5"/>
      <c r="G152" s="5"/>
      <c r="H152" s="5"/>
      <c r="I152" s="273"/>
    </row>
    <row r="153" ht="15.75" customHeight="1">
      <c r="A153" s="187"/>
      <c r="B153" s="5"/>
      <c r="C153" s="5"/>
      <c r="D153" s="5"/>
      <c r="E153" s="5"/>
      <c r="F153" s="5"/>
      <c r="G153" s="5"/>
      <c r="H153" s="5"/>
      <c r="I153" s="273"/>
    </row>
    <row r="154" ht="15.75" customHeight="1">
      <c r="A154" s="187"/>
      <c r="B154" s="5"/>
      <c r="C154" s="5"/>
      <c r="D154" s="5"/>
      <c r="E154" s="5"/>
      <c r="F154" s="5"/>
      <c r="G154" s="5"/>
      <c r="H154" s="5"/>
      <c r="I154" s="273"/>
    </row>
    <row r="155" ht="15.75" customHeight="1">
      <c r="A155" s="187"/>
      <c r="B155" s="5"/>
      <c r="C155" s="5"/>
      <c r="D155" s="5"/>
      <c r="E155" s="5"/>
      <c r="F155" s="5"/>
      <c r="G155" s="5"/>
      <c r="H155" s="5"/>
      <c r="I155" s="273"/>
    </row>
    <row r="156" ht="15.75" customHeight="1">
      <c r="A156" s="187"/>
      <c r="B156" s="5"/>
      <c r="C156" s="5"/>
      <c r="D156" s="5"/>
      <c r="E156" s="5"/>
      <c r="F156" s="5"/>
      <c r="G156" s="5"/>
      <c r="H156" s="5"/>
      <c r="I156" s="273"/>
    </row>
    <row r="157" ht="15.75" customHeight="1">
      <c r="A157" s="187"/>
      <c r="B157" s="5"/>
      <c r="C157" s="5"/>
      <c r="D157" s="5"/>
      <c r="E157" s="5"/>
      <c r="F157" s="5"/>
      <c r="G157" s="5"/>
      <c r="H157" s="5"/>
      <c r="I157" s="273"/>
    </row>
    <row r="158" ht="15.75" customHeight="1">
      <c r="A158" s="187"/>
      <c r="B158" s="5"/>
      <c r="C158" s="5"/>
      <c r="D158" s="5"/>
      <c r="E158" s="5"/>
      <c r="F158" s="5"/>
      <c r="G158" s="5"/>
      <c r="H158" s="5"/>
      <c r="I158" s="273"/>
    </row>
    <row r="159" ht="15.75" customHeight="1">
      <c r="A159" s="187"/>
      <c r="B159" s="5"/>
      <c r="C159" s="5"/>
      <c r="D159" s="5"/>
      <c r="E159" s="5"/>
      <c r="F159" s="5"/>
      <c r="G159" s="5"/>
      <c r="H159" s="5"/>
      <c r="I159" s="273"/>
    </row>
    <row r="160" ht="15.75" customHeight="1">
      <c r="A160" s="187"/>
      <c r="B160" s="5"/>
      <c r="C160" s="5"/>
      <c r="D160" s="5"/>
      <c r="E160" s="5"/>
      <c r="F160" s="5"/>
      <c r="G160" s="5"/>
      <c r="H160" s="5"/>
      <c r="I160" s="273"/>
    </row>
    <row r="161" ht="15.75" customHeight="1">
      <c r="A161" s="187"/>
      <c r="B161" s="5"/>
      <c r="C161" s="5"/>
      <c r="D161" s="5"/>
      <c r="E161" s="5"/>
      <c r="F161" s="5"/>
      <c r="G161" s="5"/>
      <c r="H161" s="5"/>
      <c r="I161" s="273"/>
    </row>
    <row r="162" ht="15.75" customHeight="1">
      <c r="A162" s="187"/>
      <c r="B162" s="5"/>
      <c r="C162" s="5"/>
      <c r="D162" s="5"/>
      <c r="E162" s="5"/>
      <c r="F162" s="5"/>
      <c r="G162" s="5"/>
      <c r="H162" s="5"/>
      <c r="I162" s="273"/>
    </row>
    <row r="163" ht="15.75" customHeight="1">
      <c r="A163" s="187"/>
      <c r="B163" s="5"/>
      <c r="C163" s="5"/>
      <c r="D163" s="5"/>
      <c r="E163" s="5"/>
      <c r="F163" s="5"/>
      <c r="G163" s="5"/>
      <c r="H163" s="5"/>
      <c r="I163" s="273"/>
    </row>
    <row r="164" ht="15.75" customHeight="1">
      <c r="A164" s="187"/>
      <c r="B164" s="5"/>
      <c r="C164" s="5"/>
      <c r="D164" s="5"/>
      <c r="E164" s="5"/>
      <c r="F164" s="5"/>
      <c r="G164" s="5"/>
      <c r="H164" s="5"/>
      <c r="I164" s="273"/>
    </row>
    <row r="165" ht="15.75" customHeight="1">
      <c r="A165" s="187"/>
      <c r="B165" s="5"/>
      <c r="C165" s="5"/>
      <c r="D165" s="5"/>
      <c r="E165" s="5"/>
      <c r="F165" s="5"/>
      <c r="G165" s="5"/>
      <c r="H165" s="5"/>
      <c r="I165" s="273"/>
    </row>
    <row r="166" ht="15.75" customHeight="1">
      <c r="A166" s="187"/>
      <c r="B166" s="5"/>
      <c r="C166" s="5"/>
      <c r="D166" s="5"/>
      <c r="E166" s="5"/>
      <c r="F166" s="5"/>
      <c r="G166" s="5"/>
      <c r="H166" s="5"/>
      <c r="I166" s="273"/>
    </row>
    <row r="167" ht="15.75" customHeight="1">
      <c r="A167" s="187"/>
      <c r="B167" s="5"/>
      <c r="C167" s="5"/>
      <c r="D167" s="5"/>
      <c r="E167" s="5"/>
      <c r="F167" s="5"/>
      <c r="G167" s="5"/>
      <c r="H167" s="5"/>
      <c r="I167" s="273"/>
    </row>
    <row r="168" ht="15.75" customHeight="1">
      <c r="A168" s="187"/>
      <c r="B168" s="5"/>
      <c r="C168" s="5"/>
      <c r="D168" s="5"/>
      <c r="E168" s="5"/>
      <c r="F168" s="5"/>
      <c r="G168" s="5"/>
      <c r="H168" s="5"/>
      <c r="I168" s="273"/>
    </row>
    <row r="169" ht="15.75" customHeight="1">
      <c r="A169" s="187"/>
      <c r="B169" s="5"/>
      <c r="C169" s="5"/>
      <c r="D169" s="5"/>
      <c r="E169" s="5"/>
      <c r="F169" s="5"/>
      <c r="G169" s="5"/>
      <c r="H169" s="5"/>
      <c r="I169" s="273"/>
    </row>
    <row r="170" ht="15.75" customHeight="1">
      <c r="A170" s="187"/>
      <c r="B170" s="5"/>
      <c r="C170" s="5"/>
      <c r="D170" s="5"/>
      <c r="E170" s="5"/>
      <c r="F170" s="5"/>
      <c r="G170" s="5"/>
      <c r="H170" s="5"/>
      <c r="I170" s="273"/>
    </row>
    <row r="171" ht="15.75" customHeight="1">
      <c r="A171" s="187"/>
      <c r="B171" s="5"/>
      <c r="C171" s="5"/>
      <c r="D171" s="5"/>
      <c r="E171" s="5"/>
      <c r="F171" s="5"/>
      <c r="G171" s="5"/>
      <c r="H171" s="5"/>
      <c r="I171" s="273"/>
    </row>
    <row r="172" ht="15.75" customHeight="1">
      <c r="A172" s="187"/>
      <c r="B172" s="5"/>
      <c r="C172" s="5"/>
      <c r="D172" s="5"/>
      <c r="E172" s="5"/>
      <c r="F172" s="5"/>
      <c r="G172" s="5"/>
      <c r="H172" s="5"/>
      <c r="I172" s="273"/>
    </row>
    <row r="173" ht="15.75" customHeight="1">
      <c r="A173" s="187"/>
      <c r="B173" s="5"/>
      <c r="C173" s="5"/>
      <c r="D173" s="5"/>
      <c r="E173" s="5"/>
      <c r="F173" s="5"/>
      <c r="G173" s="5"/>
      <c r="H173" s="5"/>
      <c r="I173" s="273"/>
    </row>
    <row r="174" ht="15.75" customHeight="1">
      <c r="A174" s="187"/>
      <c r="B174" s="5"/>
      <c r="C174" s="5"/>
      <c r="D174" s="5"/>
      <c r="E174" s="5"/>
      <c r="F174" s="5"/>
      <c r="G174" s="5"/>
      <c r="H174" s="5"/>
      <c r="I174" s="273"/>
    </row>
    <row r="175" ht="15.75" customHeight="1">
      <c r="A175" s="187"/>
      <c r="B175" s="5"/>
      <c r="C175" s="5"/>
      <c r="D175" s="5"/>
      <c r="E175" s="5"/>
      <c r="F175" s="5"/>
      <c r="G175" s="5"/>
      <c r="H175" s="5"/>
      <c r="I175" s="273"/>
    </row>
    <row r="176" ht="15.75" customHeight="1">
      <c r="A176" s="187"/>
      <c r="B176" s="5"/>
      <c r="C176" s="5"/>
      <c r="D176" s="5"/>
      <c r="E176" s="5"/>
      <c r="F176" s="5"/>
      <c r="G176" s="5"/>
      <c r="H176" s="5"/>
      <c r="I176" s="273"/>
    </row>
    <row r="177" ht="15.75" customHeight="1">
      <c r="A177" s="187"/>
      <c r="B177" s="5"/>
      <c r="C177" s="5"/>
      <c r="D177" s="5"/>
      <c r="E177" s="5"/>
      <c r="F177" s="5"/>
      <c r="G177" s="5"/>
      <c r="H177" s="5"/>
      <c r="I177" s="273"/>
    </row>
    <row r="178" ht="15.75" customHeight="1">
      <c r="A178" s="187"/>
      <c r="B178" s="5"/>
      <c r="C178" s="5"/>
      <c r="D178" s="5"/>
      <c r="E178" s="5"/>
      <c r="F178" s="5"/>
      <c r="G178" s="5"/>
      <c r="H178" s="5"/>
      <c r="I178" s="273"/>
    </row>
    <row r="179" ht="15.75" customHeight="1">
      <c r="A179" s="187"/>
      <c r="B179" s="5"/>
      <c r="C179" s="5"/>
      <c r="D179" s="5"/>
      <c r="E179" s="5"/>
      <c r="F179" s="5"/>
      <c r="G179" s="5"/>
      <c r="H179" s="5"/>
      <c r="I179" s="273"/>
    </row>
    <row r="180" ht="15.75" customHeight="1">
      <c r="A180" s="187"/>
      <c r="B180" s="5"/>
      <c r="C180" s="5"/>
      <c r="D180" s="5"/>
      <c r="E180" s="5"/>
      <c r="F180" s="5"/>
      <c r="G180" s="5"/>
      <c r="H180" s="5"/>
      <c r="I180" s="273"/>
    </row>
    <row r="181" ht="15.75" customHeight="1">
      <c r="A181" s="187"/>
      <c r="B181" s="5"/>
      <c r="C181" s="5"/>
      <c r="D181" s="5"/>
      <c r="E181" s="5"/>
      <c r="F181" s="5"/>
      <c r="G181" s="5"/>
      <c r="H181" s="5"/>
      <c r="I181" s="273"/>
    </row>
    <row r="182" ht="15.75" customHeight="1">
      <c r="A182" s="187"/>
      <c r="B182" s="5"/>
      <c r="C182" s="5"/>
      <c r="D182" s="5"/>
      <c r="E182" s="5"/>
      <c r="F182" s="5"/>
      <c r="G182" s="5"/>
      <c r="H182" s="5"/>
      <c r="I182" s="273"/>
    </row>
    <row r="183" ht="15.75" customHeight="1">
      <c r="A183" s="187"/>
      <c r="B183" s="5"/>
      <c r="C183" s="5"/>
      <c r="D183" s="5"/>
      <c r="E183" s="5"/>
      <c r="F183" s="5"/>
      <c r="G183" s="5"/>
      <c r="H183" s="5"/>
      <c r="I183" s="273"/>
    </row>
    <row r="184" ht="15.75" customHeight="1">
      <c r="A184" s="187"/>
      <c r="B184" s="5"/>
      <c r="C184" s="5"/>
      <c r="D184" s="5"/>
      <c r="E184" s="5"/>
      <c r="F184" s="5"/>
      <c r="G184" s="5"/>
      <c r="H184" s="5"/>
      <c r="I184" s="273"/>
    </row>
    <row r="185" ht="15.75" customHeight="1">
      <c r="A185" s="187"/>
      <c r="B185" s="5"/>
      <c r="C185" s="5"/>
      <c r="D185" s="5"/>
      <c r="E185" s="5"/>
      <c r="F185" s="5"/>
      <c r="G185" s="5"/>
      <c r="H185" s="5"/>
      <c r="I185" s="273"/>
    </row>
    <row r="186" ht="15.75" customHeight="1">
      <c r="A186" s="187"/>
      <c r="B186" s="5"/>
      <c r="C186" s="5"/>
      <c r="D186" s="5"/>
      <c r="E186" s="5"/>
      <c r="F186" s="5"/>
      <c r="G186" s="5"/>
      <c r="H186" s="5"/>
      <c r="I186" s="273"/>
    </row>
    <row r="187" ht="15.75" customHeight="1">
      <c r="A187" s="187"/>
      <c r="B187" s="5"/>
      <c r="C187" s="5"/>
      <c r="D187" s="5"/>
      <c r="E187" s="5"/>
      <c r="F187" s="5"/>
      <c r="G187" s="5"/>
      <c r="H187" s="5"/>
      <c r="I187" s="273"/>
    </row>
    <row r="188" ht="15.75" customHeight="1">
      <c r="A188" s="187"/>
      <c r="B188" s="5"/>
      <c r="C188" s="5"/>
      <c r="D188" s="5"/>
      <c r="E188" s="5"/>
      <c r="F188" s="5"/>
      <c r="G188" s="5"/>
      <c r="H188" s="5"/>
      <c r="I188" s="273"/>
    </row>
    <row r="189" ht="15.75" customHeight="1">
      <c r="A189" s="187"/>
      <c r="B189" s="5"/>
      <c r="C189" s="5"/>
      <c r="D189" s="5"/>
      <c r="E189" s="5"/>
      <c r="F189" s="5"/>
      <c r="G189" s="5"/>
      <c r="H189" s="5"/>
      <c r="I189" s="273"/>
    </row>
    <row r="190" ht="15.75" customHeight="1">
      <c r="A190" s="187"/>
      <c r="B190" s="5"/>
      <c r="C190" s="5"/>
      <c r="D190" s="5"/>
      <c r="E190" s="5"/>
      <c r="F190" s="5"/>
      <c r="G190" s="5"/>
      <c r="H190" s="5"/>
      <c r="I190" s="273"/>
    </row>
    <row r="191" ht="15.75" customHeight="1">
      <c r="A191" s="187"/>
      <c r="B191" s="5"/>
      <c r="C191" s="5"/>
      <c r="D191" s="5"/>
      <c r="E191" s="5"/>
      <c r="F191" s="5"/>
      <c r="G191" s="5"/>
      <c r="H191" s="5"/>
      <c r="I191" s="273"/>
    </row>
    <row r="192" ht="15.75" customHeight="1">
      <c r="A192" s="187"/>
      <c r="B192" s="5"/>
      <c r="C192" s="5"/>
      <c r="D192" s="5"/>
      <c r="E192" s="5"/>
      <c r="F192" s="5"/>
      <c r="G192" s="5"/>
      <c r="H192" s="5"/>
      <c r="I192" s="273"/>
    </row>
    <row r="193" ht="15.75" customHeight="1">
      <c r="A193" s="187"/>
      <c r="B193" s="5"/>
      <c r="C193" s="5"/>
      <c r="D193" s="5"/>
      <c r="E193" s="5"/>
      <c r="F193" s="5"/>
      <c r="G193" s="5"/>
      <c r="H193" s="5"/>
      <c r="I193" s="273"/>
    </row>
    <row r="194" ht="15.75" customHeight="1">
      <c r="A194" s="187"/>
      <c r="B194" s="5"/>
      <c r="C194" s="5"/>
      <c r="D194" s="5"/>
      <c r="E194" s="5"/>
      <c r="F194" s="5"/>
      <c r="G194" s="5"/>
      <c r="H194" s="5"/>
      <c r="I194" s="273"/>
    </row>
    <row r="195" ht="15.75" customHeight="1">
      <c r="A195" s="187"/>
      <c r="B195" s="5"/>
      <c r="C195" s="5"/>
      <c r="D195" s="5"/>
      <c r="E195" s="5"/>
      <c r="F195" s="5"/>
      <c r="G195" s="5"/>
      <c r="H195" s="5"/>
      <c r="I195" s="273"/>
    </row>
    <row r="196" ht="15.75" customHeight="1">
      <c r="A196" s="187"/>
      <c r="B196" s="5"/>
      <c r="C196" s="5"/>
      <c r="D196" s="5"/>
      <c r="E196" s="5"/>
      <c r="F196" s="5"/>
      <c r="G196" s="5"/>
      <c r="H196" s="5"/>
      <c r="I196" s="273"/>
    </row>
    <row r="197" ht="15.75" customHeight="1">
      <c r="A197" s="187"/>
      <c r="B197" s="5"/>
      <c r="C197" s="5"/>
      <c r="D197" s="5"/>
      <c r="E197" s="5"/>
      <c r="F197" s="5"/>
      <c r="G197" s="5"/>
      <c r="H197" s="5"/>
      <c r="I197" s="273"/>
    </row>
    <row r="198" ht="15.75" customHeight="1">
      <c r="A198" s="187"/>
      <c r="B198" s="5"/>
      <c r="C198" s="5"/>
      <c r="D198" s="5"/>
      <c r="E198" s="5"/>
      <c r="F198" s="5"/>
      <c r="G198" s="5"/>
      <c r="H198" s="5"/>
      <c r="I198" s="273"/>
    </row>
    <row r="199" ht="15.75" customHeight="1">
      <c r="A199" s="187"/>
      <c r="B199" s="5"/>
      <c r="C199" s="5"/>
      <c r="D199" s="5"/>
      <c r="E199" s="5"/>
      <c r="F199" s="5"/>
      <c r="G199" s="5"/>
      <c r="H199" s="5"/>
      <c r="I199" s="273"/>
    </row>
    <row r="200" ht="15.75" customHeight="1">
      <c r="A200" s="187"/>
      <c r="B200" s="5"/>
      <c r="C200" s="5"/>
      <c r="D200" s="5"/>
      <c r="E200" s="5"/>
      <c r="F200" s="5"/>
      <c r="G200" s="5"/>
      <c r="H200" s="5"/>
      <c r="I200" s="273"/>
    </row>
    <row r="201" ht="15.75" customHeight="1">
      <c r="A201" s="187"/>
      <c r="B201" s="5"/>
      <c r="C201" s="5"/>
      <c r="D201" s="5"/>
      <c r="E201" s="5"/>
      <c r="F201" s="5"/>
      <c r="G201" s="5"/>
      <c r="H201" s="5"/>
      <c r="I201" s="273"/>
    </row>
    <row r="202" ht="15.75" customHeight="1">
      <c r="A202" s="187"/>
      <c r="B202" s="5"/>
      <c r="C202" s="5"/>
      <c r="D202" s="5"/>
      <c r="E202" s="5"/>
      <c r="F202" s="5"/>
      <c r="G202" s="5"/>
      <c r="H202" s="5"/>
      <c r="I202" s="273"/>
    </row>
    <row r="203" ht="15.75" customHeight="1">
      <c r="A203" s="187"/>
      <c r="B203" s="5"/>
      <c r="C203" s="5"/>
      <c r="D203" s="5"/>
      <c r="E203" s="5"/>
      <c r="F203" s="5"/>
      <c r="G203" s="5"/>
      <c r="H203" s="5"/>
      <c r="I203" s="273"/>
    </row>
    <row r="204" ht="15.75" customHeight="1">
      <c r="A204" s="187"/>
      <c r="B204" s="5"/>
      <c r="C204" s="5"/>
      <c r="D204" s="5"/>
      <c r="E204" s="5"/>
      <c r="F204" s="5"/>
      <c r="G204" s="5"/>
      <c r="H204" s="5"/>
      <c r="I204" s="273"/>
    </row>
    <row r="205" ht="15.75" customHeight="1">
      <c r="A205" s="187"/>
      <c r="B205" s="5"/>
      <c r="C205" s="5"/>
      <c r="D205" s="5"/>
      <c r="E205" s="5"/>
      <c r="F205" s="5"/>
      <c r="G205" s="5"/>
      <c r="H205" s="5"/>
      <c r="I205" s="273"/>
    </row>
    <row r="206" ht="15.75" customHeight="1">
      <c r="A206" s="187"/>
      <c r="B206" s="5"/>
      <c r="C206" s="5"/>
      <c r="D206" s="5"/>
      <c r="E206" s="5"/>
      <c r="F206" s="5"/>
      <c r="G206" s="5"/>
      <c r="H206" s="5"/>
      <c r="I206" s="273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</sheetData>
  <mergeCells count="3">
    <mergeCell ref="A1:I1"/>
    <mergeCell ref="A2:I2"/>
    <mergeCell ref="A6:E6"/>
  </mergeCells>
  <dataValidations>
    <dataValidation type="custom" allowBlank="1" showDropDown="1" showInputMessage="1" showErrorMessage="1" prompt="Enter a valid date" sqref="A4:A5">
      <formula1>OR(NOT(ISERROR(DATEVALUE(A4))), AND(ISNUMBER(A4), LEFT(CELL("format", A4))="D"))</formula1>
    </dataValidation>
    <dataValidation type="list" allowBlank="1" showErrorMessage="1" sqref="B4:B5">
      <formula1>"Team Member 5,Team Member 6"</formula1>
    </dataValidation>
    <dataValidation type="list" allowBlank="1" sqref="D4:D5">
      <formula1>"Meeting,Test Scenario Writing,Testing,Bug Fixing,Retesting,Tool Training,Other"</formula1>
    </dataValidation>
    <dataValidation type="list" allowBlank="1" showErrorMessage="1" sqref="C4:C5">
      <formula1>"Engineer &amp; Tester,Engineer &amp; Tester - Lead"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24.0"/>
    <col customWidth="1" min="4" max="4" width="22.0"/>
    <col customWidth="1" min="5" max="5" width="40.0"/>
    <col customWidth="1" min="6" max="6" width="11.0"/>
    <col customWidth="1" hidden="1" min="7" max="7" width="7.57"/>
    <col customWidth="1" min="8" max="8" width="12.0"/>
    <col customWidth="1" min="9" max="9" width="38.29"/>
    <col customWidth="1" min="10" max="26" width="8.71"/>
  </cols>
  <sheetData>
    <row r="1" ht="25.5" customHeight="1">
      <c r="A1" s="274" t="s">
        <v>197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228" t="s">
        <v>198</v>
      </c>
      <c r="B2" s="2"/>
      <c r="C2" s="2"/>
      <c r="D2" s="2"/>
      <c r="E2" s="2"/>
      <c r="F2" s="2"/>
      <c r="G2" s="2"/>
      <c r="H2" s="2"/>
      <c r="I2" s="3"/>
    </row>
    <row r="3" ht="15.0" customHeight="1">
      <c r="A3" s="275" t="s">
        <v>166</v>
      </c>
      <c r="B3" s="276" t="s">
        <v>2</v>
      </c>
      <c r="C3" s="276" t="s">
        <v>3</v>
      </c>
      <c r="D3" s="276" t="s">
        <v>187</v>
      </c>
      <c r="E3" s="277" t="s">
        <v>188</v>
      </c>
      <c r="F3" s="276" t="s">
        <v>189</v>
      </c>
      <c r="G3" s="276" t="s">
        <v>84</v>
      </c>
      <c r="H3" s="276" t="s">
        <v>190</v>
      </c>
      <c r="I3" s="276" t="s">
        <v>191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278">
        <v>46143.0</v>
      </c>
      <c r="B4" s="279" t="s">
        <v>12</v>
      </c>
      <c r="C4" s="280" t="s">
        <v>13</v>
      </c>
      <c r="D4" s="280" t="s">
        <v>199</v>
      </c>
      <c r="E4" s="281"/>
      <c r="F4" s="279" t="s">
        <v>200</v>
      </c>
      <c r="G4" s="282">
        <f t="shared" ref="G4:G5" si="1">IFERROR(IF(AND(ISNUMBER(SEARCH("h",F4)),ISNUMBER(SEARCH("m",F4))),VALUE(LEFT(F4,SEARCH("h",F4)-1))+VALUE(MID(F4,SEARCH("h",F4)+1,SEARCH("m",F4)-SEARCH("h",F4)-1))/60,IF(ISNUMBER(SEARCH("h",F4)),VALUE(LEFT(F4,SEARCH("h",F4)-1)),IF(ISNUMBER(SEARCH("m",F4)),VALUE(LEFT(F4,SEARCH("m",F4)-1))/60,VALUE(F4)))),0)</f>
        <v>1.25</v>
      </c>
      <c r="H4" s="283">
        <f>IF(F4&lt;&gt;"",G4*RATE_HOURLY,"")</f>
        <v>25</v>
      </c>
      <c r="I4" s="280"/>
    </row>
    <row r="5" ht="15.0" customHeight="1">
      <c r="A5" s="237">
        <v>46143.0</v>
      </c>
      <c r="B5" s="238" t="s">
        <v>15</v>
      </c>
      <c r="C5" s="239" t="s">
        <v>16</v>
      </c>
      <c r="D5" s="238" t="s">
        <v>199</v>
      </c>
      <c r="E5" s="239"/>
      <c r="F5" s="238" t="s">
        <v>200</v>
      </c>
      <c r="G5" s="284">
        <f t="shared" si="1"/>
        <v>1.25</v>
      </c>
      <c r="H5" s="259">
        <f>IF(F5&lt;&gt;"",G5*RATE_HOURLY,"")</f>
        <v>25</v>
      </c>
      <c r="I5" s="285"/>
    </row>
    <row r="6" ht="19.5" customHeight="1">
      <c r="A6" s="286" t="s">
        <v>74</v>
      </c>
      <c r="B6" s="8"/>
      <c r="C6" s="8"/>
      <c r="D6" s="8"/>
      <c r="E6" s="244"/>
      <c r="F6" s="287" t="str">
        <f>IF(INT(G6)&gt;0,INT(G6)&amp;"h "&amp;TEXT(ROUND((G6-INT(G6))*60,0),"0")&amp;"m",TEXT(ROUND(G6*60,0),"0")&amp;"m")</f>
        <v>2h 30m</v>
      </c>
      <c r="G6" s="288">
        <f t="shared" ref="G6:H6" si="2">SUM(G4:G5)</f>
        <v>2.5</v>
      </c>
      <c r="H6" s="289">
        <f t="shared" si="2"/>
        <v>50</v>
      </c>
      <c r="I6" s="290"/>
    </row>
    <row r="7" ht="15.75" customHeight="1">
      <c r="A7" s="187"/>
      <c r="B7" s="5"/>
      <c r="C7" s="5"/>
      <c r="D7" s="5"/>
      <c r="E7" s="5"/>
      <c r="F7" s="5"/>
      <c r="G7" s="5"/>
      <c r="H7" s="5"/>
      <c r="I7" s="5"/>
    </row>
    <row r="8" ht="15.75" customHeight="1">
      <c r="A8" s="187"/>
      <c r="B8" s="5"/>
      <c r="C8" s="5"/>
      <c r="D8" s="5"/>
      <c r="E8" s="5"/>
      <c r="F8" s="5"/>
      <c r="G8" s="5"/>
      <c r="H8" s="5"/>
      <c r="I8" s="5"/>
    </row>
    <row r="9" ht="15.75" customHeight="1">
      <c r="A9" s="187"/>
      <c r="B9" s="5"/>
      <c r="C9" s="5"/>
      <c r="D9" s="5"/>
      <c r="E9" s="5"/>
      <c r="F9" s="5"/>
      <c r="G9" s="5"/>
      <c r="H9" s="5"/>
      <c r="I9" s="5"/>
    </row>
    <row r="10" ht="15.75" customHeight="1">
      <c r="A10" s="187"/>
      <c r="B10" s="5"/>
      <c r="C10" s="5"/>
      <c r="D10" s="5"/>
      <c r="E10" s="5"/>
      <c r="F10" s="5"/>
      <c r="G10" s="5"/>
      <c r="H10" s="5"/>
      <c r="I10" s="5"/>
    </row>
    <row r="11" ht="15.75" customHeight="1">
      <c r="A11" s="187"/>
      <c r="B11" s="5"/>
      <c r="C11" s="5"/>
      <c r="D11" s="5"/>
      <c r="E11" s="5"/>
      <c r="F11" s="5"/>
      <c r="G11" s="5"/>
      <c r="H11" s="5"/>
      <c r="I11" s="5"/>
    </row>
    <row r="12" ht="15.75" customHeight="1">
      <c r="A12" s="187"/>
      <c r="B12" s="5"/>
      <c r="C12" s="5"/>
      <c r="D12" s="5"/>
      <c r="E12" s="5"/>
      <c r="F12" s="5"/>
      <c r="G12" s="5"/>
      <c r="H12" s="5"/>
      <c r="I12" s="5"/>
    </row>
    <row r="13" ht="15.75" customHeight="1">
      <c r="A13" s="187"/>
      <c r="B13" s="5"/>
      <c r="C13" s="5"/>
      <c r="D13" s="5"/>
      <c r="E13" s="5"/>
      <c r="F13" s="5"/>
      <c r="G13" s="5"/>
      <c r="H13" s="5"/>
      <c r="I13" s="5"/>
    </row>
    <row r="14" ht="15.75" customHeight="1">
      <c r="A14" s="187"/>
      <c r="B14" s="5"/>
      <c r="C14" s="5"/>
      <c r="D14" s="5"/>
      <c r="E14" s="5"/>
      <c r="F14" s="5"/>
      <c r="G14" s="5"/>
      <c r="H14" s="5"/>
      <c r="I14" s="5"/>
    </row>
    <row r="15" ht="15.75" customHeight="1">
      <c r="A15" s="187"/>
      <c r="B15" s="5"/>
      <c r="C15" s="5"/>
      <c r="D15" s="5"/>
      <c r="E15" s="5"/>
      <c r="F15" s="5"/>
      <c r="G15" s="5"/>
      <c r="H15" s="5"/>
      <c r="I15" s="5"/>
    </row>
    <row r="16" ht="15.75" customHeight="1">
      <c r="A16" s="187"/>
      <c r="B16" s="5"/>
      <c r="C16" s="5"/>
      <c r="D16" s="5"/>
      <c r="E16" s="5"/>
      <c r="F16" s="5"/>
      <c r="G16" s="5"/>
      <c r="H16" s="5"/>
      <c r="I16" s="5"/>
    </row>
    <row r="17" ht="15.75" customHeight="1">
      <c r="A17" s="187"/>
      <c r="B17" s="5"/>
      <c r="C17" s="5"/>
      <c r="D17" s="5"/>
      <c r="E17" s="5"/>
      <c r="F17" s="5"/>
      <c r="G17" s="5"/>
      <c r="H17" s="5"/>
      <c r="I17" s="5"/>
    </row>
    <row r="18" ht="15.75" customHeight="1">
      <c r="A18" s="187"/>
      <c r="B18" s="5"/>
      <c r="C18" s="5"/>
      <c r="D18" s="5"/>
      <c r="E18" s="5"/>
      <c r="F18" s="5"/>
      <c r="G18" s="5"/>
      <c r="H18" s="5"/>
      <c r="I18" s="5"/>
    </row>
    <row r="19" ht="15.75" customHeight="1">
      <c r="A19" s="187"/>
      <c r="B19" s="5"/>
      <c r="C19" s="5"/>
      <c r="D19" s="5"/>
      <c r="E19" s="5"/>
      <c r="F19" s="5"/>
      <c r="G19" s="5"/>
      <c r="H19" s="5"/>
      <c r="I19" s="5"/>
    </row>
    <row r="20" ht="15.75" customHeight="1">
      <c r="A20" s="187"/>
      <c r="B20" s="5"/>
      <c r="C20" s="5"/>
      <c r="D20" s="5"/>
      <c r="E20" s="5"/>
      <c r="F20" s="5"/>
      <c r="G20" s="5"/>
      <c r="H20" s="5"/>
      <c r="I20" s="5"/>
    </row>
    <row r="21" ht="15.75" customHeight="1">
      <c r="A21" s="187"/>
      <c r="B21" s="5"/>
      <c r="C21" s="5"/>
      <c r="D21" s="5"/>
      <c r="E21" s="5"/>
      <c r="F21" s="5"/>
      <c r="G21" s="5"/>
      <c r="H21" s="5"/>
      <c r="I21" s="5"/>
    </row>
    <row r="22" ht="15.75" customHeight="1">
      <c r="A22" s="187"/>
      <c r="B22" s="5"/>
      <c r="C22" s="5"/>
      <c r="D22" s="5"/>
      <c r="E22" s="5"/>
      <c r="F22" s="5"/>
      <c r="G22" s="5"/>
      <c r="H22" s="5"/>
      <c r="I22" s="5"/>
    </row>
    <row r="23" ht="15.75" customHeight="1">
      <c r="A23" s="187"/>
      <c r="B23" s="5"/>
      <c r="C23" s="5"/>
      <c r="D23" s="5"/>
      <c r="E23" s="5"/>
      <c r="F23" s="5"/>
      <c r="G23" s="5"/>
      <c r="H23" s="5"/>
      <c r="I23" s="5"/>
    </row>
    <row r="24" ht="15.75" customHeight="1">
      <c r="A24" s="187"/>
      <c r="B24" s="5"/>
      <c r="C24" s="5"/>
      <c r="D24" s="5"/>
      <c r="E24" s="5"/>
      <c r="F24" s="5"/>
      <c r="G24" s="5"/>
      <c r="H24" s="5"/>
      <c r="I24" s="5"/>
    </row>
    <row r="25" ht="15.75" customHeight="1">
      <c r="A25" s="187"/>
      <c r="B25" s="5"/>
      <c r="C25" s="5"/>
      <c r="D25" s="5"/>
      <c r="E25" s="5"/>
      <c r="F25" s="5"/>
      <c r="G25" s="5"/>
      <c r="H25" s="5"/>
      <c r="I25" s="5"/>
    </row>
    <row r="26" ht="15.75" customHeight="1">
      <c r="A26" s="187"/>
      <c r="B26" s="5"/>
      <c r="C26" s="5"/>
      <c r="D26" s="5"/>
      <c r="E26" s="5"/>
      <c r="F26" s="5"/>
      <c r="G26" s="5"/>
      <c r="H26" s="5"/>
      <c r="I26" s="5"/>
    </row>
    <row r="27" ht="15.75" customHeight="1">
      <c r="A27" s="187"/>
      <c r="B27" s="5"/>
      <c r="C27" s="5"/>
      <c r="D27" s="5"/>
      <c r="E27" s="5"/>
      <c r="F27" s="5"/>
      <c r="G27" s="5"/>
      <c r="H27" s="5"/>
      <c r="I27" s="5"/>
    </row>
    <row r="28" ht="15.75" customHeight="1">
      <c r="A28" s="187"/>
      <c r="B28" s="5"/>
      <c r="C28" s="5"/>
      <c r="D28" s="5"/>
      <c r="E28" s="5"/>
      <c r="F28" s="5"/>
      <c r="G28" s="5"/>
      <c r="H28" s="5"/>
      <c r="I28" s="5"/>
    </row>
    <row r="29" ht="15.75" customHeight="1">
      <c r="A29" s="187"/>
      <c r="B29" s="5"/>
      <c r="C29" s="5"/>
      <c r="D29" s="5"/>
      <c r="E29" s="5"/>
      <c r="F29" s="5"/>
      <c r="G29" s="5"/>
      <c r="H29" s="5"/>
      <c r="I29" s="5"/>
    </row>
    <row r="30" ht="15.75" customHeight="1">
      <c r="A30" s="187"/>
      <c r="B30" s="5"/>
      <c r="C30" s="5"/>
      <c r="D30" s="5"/>
      <c r="E30" s="5"/>
      <c r="F30" s="5"/>
      <c r="G30" s="5"/>
      <c r="H30" s="5"/>
      <c r="I30" s="5"/>
    </row>
    <row r="31" ht="15.75" customHeight="1">
      <c r="A31" s="187"/>
      <c r="B31" s="5"/>
      <c r="C31" s="5"/>
      <c r="D31" s="5"/>
      <c r="E31" s="5"/>
      <c r="F31" s="5"/>
      <c r="G31" s="5"/>
      <c r="H31" s="5"/>
      <c r="I31" s="5"/>
    </row>
    <row r="32" ht="15.75" customHeight="1">
      <c r="A32" s="187"/>
      <c r="B32" s="5"/>
      <c r="C32" s="5"/>
      <c r="D32" s="5"/>
      <c r="E32" s="5"/>
      <c r="F32" s="5"/>
      <c r="G32" s="5"/>
      <c r="H32" s="5"/>
      <c r="I32" s="5"/>
    </row>
    <row r="33" ht="15.75" customHeight="1">
      <c r="A33" s="187"/>
      <c r="B33" s="5"/>
      <c r="C33" s="5"/>
      <c r="D33" s="5"/>
      <c r="E33" s="5"/>
      <c r="F33" s="5"/>
      <c r="G33" s="5"/>
      <c r="H33" s="5"/>
      <c r="I33" s="5"/>
    </row>
    <row r="34" ht="15.75" customHeight="1">
      <c r="A34" s="187"/>
      <c r="B34" s="5"/>
      <c r="C34" s="5"/>
      <c r="D34" s="5"/>
      <c r="E34" s="5"/>
      <c r="F34" s="5"/>
      <c r="G34" s="5"/>
      <c r="H34" s="5"/>
      <c r="I34" s="5"/>
    </row>
    <row r="35" ht="15.75" customHeight="1">
      <c r="A35" s="187"/>
      <c r="B35" s="5"/>
      <c r="C35" s="5"/>
      <c r="D35" s="5"/>
      <c r="E35" s="5"/>
      <c r="F35" s="5"/>
      <c r="G35" s="5"/>
      <c r="H35" s="5"/>
      <c r="I35" s="5"/>
    </row>
    <row r="36" ht="15.75" customHeight="1">
      <c r="A36" s="187"/>
      <c r="B36" s="5"/>
      <c r="C36" s="5"/>
      <c r="D36" s="5"/>
      <c r="E36" s="5"/>
      <c r="F36" s="5"/>
      <c r="G36" s="5"/>
      <c r="H36" s="5"/>
      <c r="I36" s="5"/>
    </row>
    <row r="37" ht="15.75" customHeight="1">
      <c r="A37" s="187"/>
      <c r="B37" s="5"/>
      <c r="C37" s="5"/>
      <c r="D37" s="5"/>
      <c r="E37" s="5"/>
      <c r="F37" s="5"/>
      <c r="G37" s="5"/>
      <c r="H37" s="5"/>
      <c r="I37" s="5"/>
    </row>
    <row r="38" ht="15.75" customHeight="1">
      <c r="A38" s="187"/>
      <c r="B38" s="5"/>
      <c r="C38" s="5"/>
      <c r="D38" s="5"/>
      <c r="E38" s="5"/>
      <c r="F38" s="5"/>
      <c r="G38" s="5"/>
      <c r="H38" s="5"/>
      <c r="I38" s="5"/>
    </row>
    <row r="39" ht="15.75" customHeight="1">
      <c r="A39" s="187"/>
      <c r="B39" s="5"/>
      <c r="C39" s="5"/>
      <c r="D39" s="5"/>
      <c r="E39" s="5"/>
      <c r="F39" s="5"/>
      <c r="G39" s="5"/>
      <c r="H39" s="5"/>
      <c r="I39" s="5"/>
    </row>
    <row r="40" ht="15.75" customHeight="1">
      <c r="A40" s="187"/>
      <c r="B40" s="5"/>
      <c r="C40" s="5"/>
      <c r="D40" s="5"/>
      <c r="E40" s="5"/>
      <c r="F40" s="5"/>
      <c r="G40" s="5"/>
      <c r="H40" s="5"/>
      <c r="I40" s="5"/>
    </row>
    <row r="41" ht="15.75" customHeight="1">
      <c r="A41" s="187"/>
      <c r="B41" s="5"/>
      <c r="C41" s="5"/>
      <c r="D41" s="5"/>
      <c r="E41" s="5"/>
      <c r="F41" s="5"/>
      <c r="G41" s="5"/>
      <c r="H41" s="5"/>
      <c r="I41" s="5"/>
    </row>
    <row r="42" ht="15.75" customHeight="1">
      <c r="A42" s="187"/>
      <c r="B42" s="5"/>
      <c r="C42" s="5"/>
      <c r="D42" s="5"/>
      <c r="E42" s="5"/>
      <c r="F42" s="5"/>
      <c r="G42" s="5"/>
      <c r="H42" s="5"/>
      <c r="I42" s="5"/>
    </row>
    <row r="43" ht="15.75" customHeight="1">
      <c r="A43" s="187"/>
      <c r="B43" s="5"/>
      <c r="C43" s="5"/>
      <c r="D43" s="5"/>
      <c r="E43" s="5"/>
      <c r="F43" s="5"/>
      <c r="G43" s="5"/>
      <c r="H43" s="5"/>
      <c r="I43" s="5"/>
    </row>
    <row r="44" ht="15.75" customHeight="1">
      <c r="A44" s="187"/>
      <c r="B44" s="5"/>
      <c r="C44" s="5"/>
      <c r="D44" s="5"/>
      <c r="E44" s="5"/>
      <c r="F44" s="5"/>
      <c r="G44" s="5"/>
      <c r="H44" s="5"/>
      <c r="I44" s="5"/>
    </row>
    <row r="45" ht="15.75" customHeight="1">
      <c r="A45" s="187"/>
      <c r="B45" s="5"/>
      <c r="C45" s="5"/>
      <c r="D45" s="5"/>
      <c r="E45" s="5"/>
      <c r="F45" s="5"/>
      <c r="G45" s="5"/>
      <c r="H45" s="5"/>
      <c r="I45" s="5"/>
    </row>
    <row r="46" ht="15.75" customHeight="1">
      <c r="A46" s="187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187"/>
      <c r="B47" s="5"/>
      <c r="C47" s="5"/>
      <c r="D47" s="5"/>
      <c r="E47" s="5"/>
      <c r="F47" s="5"/>
      <c r="G47" s="5"/>
      <c r="H47" s="5"/>
      <c r="I47" s="5"/>
    </row>
    <row r="48" ht="15.75" customHeight="1">
      <c r="A48" s="187"/>
      <c r="B48" s="5"/>
      <c r="C48" s="5"/>
      <c r="D48" s="5"/>
      <c r="E48" s="5"/>
      <c r="F48" s="5"/>
      <c r="G48" s="5"/>
      <c r="H48" s="5"/>
      <c r="I48" s="5"/>
    </row>
    <row r="49" ht="15.75" customHeight="1">
      <c r="A49" s="187"/>
      <c r="B49" s="5"/>
      <c r="C49" s="5"/>
      <c r="D49" s="5"/>
      <c r="E49" s="5"/>
      <c r="F49" s="5"/>
      <c r="G49" s="5"/>
      <c r="H49" s="5"/>
      <c r="I49" s="5"/>
    </row>
    <row r="50" ht="15.75" customHeight="1">
      <c r="A50" s="187"/>
      <c r="B50" s="5"/>
      <c r="C50" s="5"/>
      <c r="D50" s="5"/>
      <c r="E50" s="5"/>
      <c r="F50" s="5"/>
      <c r="G50" s="5"/>
      <c r="H50" s="5"/>
      <c r="I50" s="5"/>
    </row>
    <row r="51" ht="15.75" customHeight="1">
      <c r="A51" s="187"/>
      <c r="B51" s="5"/>
      <c r="C51" s="5"/>
      <c r="D51" s="5"/>
      <c r="E51" s="5"/>
      <c r="F51" s="5"/>
      <c r="G51" s="5"/>
      <c r="H51" s="5"/>
      <c r="I51" s="5"/>
    </row>
    <row r="52" ht="15.75" customHeight="1">
      <c r="A52" s="187"/>
      <c r="B52" s="5"/>
      <c r="C52" s="5"/>
      <c r="D52" s="5"/>
      <c r="E52" s="5"/>
      <c r="F52" s="5"/>
      <c r="G52" s="5"/>
      <c r="H52" s="5"/>
      <c r="I52" s="5"/>
    </row>
    <row r="53" ht="15.75" customHeight="1">
      <c r="A53" s="187"/>
      <c r="B53" s="5"/>
      <c r="C53" s="5"/>
      <c r="D53" s="5"/>
      <c r="E53" s="5"/>
      <c r="F53" s="5"/>
      <c r="G53" s="5"/>
      <c r="H53" s="5"/>
      <c r="I53" s="5"/>
    </row>
    <row r="54" ht="15.75" customHeight="1">
      <c r="A54" s="187"/>
      <c r="B54" s="5"/>
      <c r="C54" s="5"/>
      <c r="D54" s="5"/>
      <c r="E54" s="5"/>
      <c r="F54" s="5"/>
      <c r="G54" s="5"/>
      <c r="H54" s="5"/>
      <c r="I54" s="5"/>
    </row>
    <row r="55" ht="15.75" customHeight="1">
      <c r="A55" s="187"/>
      <c r="B55" s="5"/>
      <c r="C55" s="5"/>
      <c r="D55" s="5"/>
      <c r="E55" s="5"/>
      <c r="F55" s="5"/>
      <c r="G55" s="5"/>
      <c r="H55" s="5"/>
      <c r="I55" s="5"/>
    </row>
    <row r="56" ht="15.75" customHeight="1">
      <c r="A56" s="187"/>
      <c r="B56" s="5"/>
      <c r="C56" s="5"/>
      <c r="D56" s="5"/>
      <c r="E56" s="5"/>
      <c r="F56" s="5"/>
      <c r="G56" s="5"/>
      <c r="H56" s="5"/>
      <c r="I56" s="5"/>
    </row>
    <row r="57" ht="15.75" customHeight="1">
      <c r="A57" s="187"/>
      <c r="B57" s="5"/>
      <c r="C57" s="5"/>
      <c r="D57" s="5"/>
      <c r="E57" s="5"/>
      <c r="F57" s="5"/>
      <c r="G57" s="5"/>
      <c r="H57" s="5"/>
      <c r="I57" s="5"/>
    </row>
    <row r="58" ht="15.75" customHeight="1">
      <c r="A58" s="187"/>
      <c r="B58" s="5"/>
      <c r="C58" s="5"/>
      <c r="D58" s="5"/>
      <c r="E58" s="5"/>
      <c r="F58" s="5"/>
      <c r="G58" s="5"/>
      <c r="H58" s="5"/>
      <c r="I58" s="5"/>
    </row>
    <row r="59" ht="15.75" customHeight="1">
      <c r="A59" s="187"/>
      <c r="B59" s="5"/>
      <c r="C59" s="5"/>
      <c r="D59" s="5"/>
      <c r="E59" s="5"/>
      <c r="F59" s="5"/>
      <c r="G59" s="5"/>
      <c r="H59" s="5"/>
      <c r="I59" s="5"/>
    </row>
    <row r="60" ht="15.75" customHeight="1">
      <c r="A60" s="187"/>
      <c r="B60" s="5"/>
      <c r="C60" s="5"/>
      <c r="D60" s="5"/>
      <c r="E60" s="5"/>
      <c r="F60" s="5"/>
      <c r="G60" s="5"/>
      <c r="H60" s="5"/>
      <c r="I60" s="5"/>
    </row>
    <row r="61" ht="15.75" customHeight="1">
      <c r="A61" s="187"/>
      <c r="B61" s="5"/>
      <c r="C61" s="5"/>
      <c r="D61" s="5"/>
      <c r="E61" s="5"/>
      <c r="F61" s="5"/>
      <c r="G61" s="5"/>
      <c r="H61" s="5"/>
      <c r="I61" s="5"/>
    </row>
    <row r="62" ht="15.75" customHeight="1">
      <c r="A62" s="187"/>
      <c r="B62" s="5"/>
      <c r="C62" s="5"/>
      <c r="D62" s="5"/>
      <c r="E62" s="5"/>
      <c r="F62" s="5"/>
      <c r="G62" s="5"/>
      <c r="H62" s="5"/>
      <c r="I62" s="5"/>
    </row>
    <row r="63" ht="15.75" customHeight="1">
      <c r="A63" s="187"/>
      <c r="B63" s="5"/>
      <c r="C63" s="5"/>
      <c r="D63" s="5"/>
      <c r="E63" s="5"/>
      <c r="F63" s="5"/>
      <c r="G63" s="5"/>
      <c r="H63" s="5"/>
      <c r="I63" s="5"/>
    </row>
    <row r="64" ht="15.75" customHeight="1">
      <c r="A64" s="187"/>
      <c r="B64" s="5"/>
      <c r="C64" s="5"/>
      <c r="D64" s="5"/>
      <c r="E64" s="5"/>
      <c r="F64" s="5"/>
      <c r="G64" s="5"/>
      <c r="H64" s="5"/>
      <c r="I64" s="5"/>
    </row>
    <row r="65" ht="15.75" customHeight="1">
      <c r="A65" s="187"/>
      <c r="B65" s="5"/>
      <c r="C65" s="5"/>
      <c r="D65" s="5"/>
      <c r="E65" s="5"/>
      <c r="F65" s="5"/>
      <c r="G65" s="5"/>
      <c r="H65" s="5"/>
      <c r="I65" s="5"/>
    </row>
    <row r="66" ht="15.75" customHeight="1">
      <c r="A66" s="187"/>
      <c r="B66" s="5"/>
      <c r="C66" s="5"/>
      <c r="D66" s="5"/>
      <c r="E66" s="5"/>
      <c r="F66" s="5"/>
      <c r="G66" s="5"/>
      <c r="H66" s="5"/>
      <c r="I66" s="5"/>
    </row>
    <row r="67" ht="15.75" customHeight="1">
      <c r="A67" s="187"/>
      <c r="B67" s="5"/>
      <c r="C67" s="5"/>
      <c r="D67" s="5"/>
      <c r="E67" s="5"/>
      <c r="F67" s="5"/>
      <c r="G67" s="5"/>
      <c r="H67" s="5"/>
      <c r="I67" s="5"/>
    </row>
    <row r="68" ht="15.75" customHeight="1">
      <c r="A68" s="187"/>
      <c r="B68" s="5"/>
      <c r="C68" s="5"/>
      <c r="D68" s="5"/>
      <c r="E68" s="5"/>
      <c r="F68" s="5"/>
      <c r="G68" s="5"/>
      <c r="H68" s="5"/>
      <c r="I68" s="5"/>
    </row>
    <row r="69" ht="15.75" customHeight="1">
      <c r="A69" s="187"/>
      <c r="B69" s="5"/>
      <c r="C69" s="5"/>
      <c r="D69" s="5"/>
      <c r="E69" s="5"/>
      <c r="F69" s="5"/>
      <c r="G69" s="5"/>
      <c r="H69" s="5"/>
      <c r="I69" s="5"/>
    </row>
    <row r="70" ht="15.75" customHeight="1">
      <c r="A70" s="187"/>
      <c r="B70" s="5"/>
      <c r="C70" s="5"/>
      <c r="D70" s="5"/>
      <c r="E70" s="5"/>
      <c r="F70" s="5"/>
      <c r="G70" s="5"/>
      <c r="H70" s="5"/>
      <c r="I70" s="5"/>
    </row>
    <row r="71" ht="15.75" customHeight="1">
      <c r="A71" s="187"/>
      <c r="B71" s="5"/>
      <c r="C71" s="5"/>
      <c r="D71" s="5"/>
      <c r="E71" s="5"/>
      <c r="F71" s="5"/>
      <c r="G71" s="5"/>
      <c r="H71" s="5"/>
      <c r="I71" s="5"/>
    </row>
    <row r="72" ht="15.75" customHeight="1">
      <c r="A72" s="187"/>
      <c r="B72" s="5"/>
      <c r="C72" s="5"/>
      <c r="D72" s="5"/>
      <c r="E72" s="5"/>
      <c r="F72" s="5"/>
      <c r="G72" s="5"/>
      <c r="H72" s="5"/>
      <c r="I72" s="5"/>
    </row>
    <row r="73" ht="15.75" customHeight="1">
      <c r="A73" s="187"/>
      <c r="B73" s="5"/>
      <c r="C73" s="5"/>
      <c r="D73" s="5"/>
      <c r="E73" s="5"/>
      <c r="F73" s="5"/>
      <c r="G73" s="5"/>
      <c r="H73" s="5"/>
      <c r="I73" s="5"/>
    </row>
    <row r="74" ht="15.75" customHeight="1">
      <c r="A74" s="187"/>
      <c r="B74" s="5"/>
      <c r="C74" s="5"/>
      <c r="D74" s="5"/>
      <c r="E74" s="5"/>
      <c r="F74" s="5"/>
      <c r="G74" s="5"/>
      <c r="H74" s="5"/>
      <c r="I74" s="5"/>
    </row>
    <row r="75" ht="15.75" customHeight="1">
      <c r="A75" s="187"/>
      <c r="B75" s="5"/>
      <c r="C75" s="5"/>
      <c r="D75" s="5"/>
      <c r="E75" s="5"/>
      <c r="F75" s="5"/>
      <c r="G75" s="5"/>
      <c r="H75" s="5"/>
      <c r="I75" s="5"/>
    </row>
    <row r="76" ht="15.75" customHeight="1">
      <c r="A76" s="187"/>
      <c r="B76" s="5"/>
      <c r="C76" s="5"/>
      <c r="D76" s="5"/>
      <c r="E76" s="5"/>
      <c r="F76" s="5"/>
      <c r="G76" s="5"/>
      <c r="H76" s="5"/>
      <c r="I76" s="5"/>
    </row>
    <row r="77" ht="15.75" customHeight="1">
      <c r="A77" s="187"/>
      <c r="B77" s="5"/>
      <c r="C77" s="5"/>
      <c r="D77" s="5"/>
      <c r="E77" s="5"/>
      <c r="F77" s="5"/>
      <c r="G77" s="5"/>
      <c r="H77" s="5"/>
      <c r="I77" s="5"/>
    </row>
    <row r="78" ht="15.75" customHeight="1">
      <c r="A78" s="187"/>
      <c r="B78" s="5"/>
      <c r="C78" s="5"/>
      <c r="D78" s="5"/>
      <c r="E78" s="5"/>
      <c r="F78" s="5"/>
      <c r="G78" s="5"/>
      <c r="H78" s="5"/>
      <c r="I78" s="5"/>
    </row>
    <row r="79" ht="15.75" customHeight="1">
      <c r="A79" s="187"/>
      <c r="B79" s="5"/>
      <c r="C79" s="5"/>
      <c r="D79" s="5"/>
      <c r="E79" s="5"/>
      <c r="F79" s="5"/>
      <c r="G79" s="5"/>
      <c r="H79" s="5"/>
      <c r="I79" s="5"/>
    </row>
    <row r="80" ht="15.75" customHeight="1">
      <c r="A80" s="187"/>
      <c r="B80" s="5"/>
      <c r="C80" s="5"/>
      <c r="D80" s="5"/>
      <c r="E80" s="5"/>
      <c r="F80" s="5"/>
      <c r="G80" s="5"/>
      <c r="H80" s="5"/>
      <c r="I80" s="5"/>
    </row>
    <row r="81" ht="15.75" customHeight="1">
      <c r="A81" s="187"/>
      <c r="B81" s="5"/>
      <c r="C81" s="5"/>
      <c r="D81" s="5"/>
      <c r="E81" s="5"/>
      <c r="F81" s="5"/>
      <c r="G81" s="5"/>
      <c r="H81" s="5"/>
      <c r="I81" s="5"/>
    </row>
    <row r="82" ht="15.75" customHeight="1">
      <c r="A82" s="187"/>
      <c r="B82" s="5"/>
      <c r="C82" s="5"/>
      <c r="D82" s="5"/>
      <c r="E82" s="5"/>
      <c r="F82" s="5"/>
      <c r="G82" s="5"/>
      <c r="H82" s="5"/>
      <c r="I82" s="5"/>
    </row>
    <row r="83" ht="15.75" customHeight="1">
      <c r="A83" s="187"/>
      <c r="B83" s="5"/>
      <c r="C83" s="5"/>
      <c r="D83" s="5"/>
      <c r="E83" s="5"/>
      <c r="F83" s="5"/>
      <c r="G83" s="5"/>
      <c r="H83" s="5"/>
      <c r="I83" s="5"/>
    </row>
    <row r="84" ht="15.75" customHeight="1">
      <c r="A84" s="187"/>
      <c r="B84" s="5"/>
      <c r="C84" s="5"/>
      <c r="D84" s="5"/>
      <c r="E84" s="5"/>
      <c r="F84" s="5"/>
      <c r="G84" s="5"/>
      <c r="H84" s="5"/>
      <c r="I84" s="5"/>
    </row>
    <row r="85" ht="15.75" customHeight="1">
      <c r="A85" s="187"/>
      <c r="B85" s="5"/>
      <c r="C85" s="5"/>
      <c r="D85" s="5"/>
      <c r="E85" s="5"/>
      <c r="F85" s="5"/>
      <c r="G85" s="5"/>
      <c r="H85" s="5"/>
      <c r="I85" s="5"/>
    </row>
    <row r="86" ht="15.75" customHeight="1">
      <c r="A86" s="187"/>
      <c r="B86" s="5"/>
      <c r="C86" s="5"/>
      <c r="D86" s="5"/>
      <c r="E86" s="5"/>
      <c r="F86" s="5"/>
      <c r="G86" s="5"/>
      <c r="H86" s="5"/>
      <c r="I86" s="5"/>
    </row>
    <row r="87" ht="15.75" customHeight="1">
      <c r="A87" s="187"/>
      <c r="B87" s="5"/>
      <c r="C87" s="5"/>
      <c r="D87" s="5"/>
      <c r="E87" s="5"/>
      <c r="F87" s="5"/>
      <c r="G87" s="5"/>
      <c r="H87" s="5"/>
      <c r="I87" s="5"/>
    </row>
    <row r="88" ht="15.75" customHeight="1">
      <c r="A88" s="187"/>
      <c r="B88" s="5"/>
      <c r="C88" s="5"/>
      <c r="D88" s="5"/>
      <c r="E88" s="5"/>
      <c r="F88" s="5"/>
      <c r="G88" s="5"/>
      <c r="H88" s="5"/>
      <c r="I88" s="5"/>
    </row>
    <row r="89" ht="15.75" customHeight="1">
      <c r="A89" s="187"/>
      <c r="B89" s="5"/>
      <c r="C89" s="5"/>
      <c r="D89" s="5"/>
      <c r="E89" s="5"/>
      <c r="F89" s="5"/>
      <c r="G89" s="5"/>
      <c r="H89" s="5"/>
      <c r="I89" s="5"/>
    </row>
    <row r="90" ht="15.75" customHeight="1">
      <c r="A90" s="187"/>
      <c r="B90" s="5"/>
      <c r="C90" s="5"/>
      <c r="D90" s="5"/>
      <c r="E90" s="5"/>
      <c r="F90" s="5"/>
      <c r="G90" s="5"/>
      <c r="H90" s="5"/>
      <c r="I90" s="5"/>
    </row>
    <row r="91" ht="15.75" customHeight="1">
      <c r="A91" s="187"/>
      <c r="B91" s="5"/>
      <c r="C91" s="5"/>
      <c r="D91" s="5"/>
      <c r="E91" s="5"/>
      <c r="F91" s="5"/>
      <c r="G91" s="5"/>
      <c r="H91" s="5"/>
      <c r="I91" s="5"/>
    </row>
    <row r="92" ht="15.75" customHeight="1">
      <c r="A92" s="187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187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187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187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187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187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187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187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187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187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187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187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187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187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187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187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187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187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187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187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187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187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187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187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187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187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187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187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187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187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187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187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187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187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187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187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187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187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187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187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187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187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187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187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187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187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187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187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187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187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187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187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187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187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187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187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187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187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187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187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187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187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187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187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187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187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187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187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187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187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187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187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187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187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187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187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187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187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187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187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187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187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187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187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187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187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187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187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187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187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187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187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187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187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187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187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187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187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187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187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187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187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187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187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187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187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187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187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187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187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187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187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187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187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187"/>
      <c r="B206" s="5"/>
      <c r="C206" s="5"/>
      <c r="D206" s="5"/>
      <c r="E206" s="5"/>
      <c r="F206" s="5"/>
      <c r="G206" s="5"/>
      <c r="H206" s="5"/>
      <c r="I206" s="5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mergeCells count="3">
    <mergeCell ref="A1:I1"/>
    <mergeCell ref="A2:I2"/>
    <mergeCell ref="A6:E6"/>
  </mergeCells>
  <dataValidations>
    <dataValidation type="list" allowBlank="1" sqref="D4:D5">
      <formula1>"Meeting,Terminology Research,Termbase Creation,Termbase Review,Terminology Query,Terminology Extraction,Termbase Upload,Post-Editing (Terms),Other"</formula1>
    </dataValidation>
    <dataValidation type="custom" allowBlank="1" showDropDown="1" showInputMessage="1" showErrorMessage="1" prompt="Enter a valid date" sqref="A4:A5">
      <formula1>OR(NOT(ISERROR(DATEVALUE(A4))), AND(ISNUMBER(A4), LEFT(CELL("format", A4))="D"))</formula1>
    </dataValidation>
    <dataValidation type="list" allowBlank="1" showErrorMessage="1" sqref="C4:C5">
      <formula1>"Terminologist,Terminologist - Lead"</formula1>
    </dataValidation>
    <dataValidation type="list" allowBlank="1" showErrorMessage="1" sqref="B4:B5">
      <formula1>"Team Member 1,Team Member 2"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24.0"/>
    <col customWidth="1" min="4" max="4" width="22.0"/>
    <col customWidth="1" min="5" max="5" width="40.0"/>
    <col customWidth="1" min="6" max="6" width="11.71"/>
    <col customWidth="1" hidden="1" min="7" max="7" width="8.29"/>
    <col customWidth="1" min="8" max="8" width="12.0"/>
    <col customWidth="1" min="9" max="9" width="30.0"/>
    <col customWidth="1" min="10" max="26" width="8.71"/>
  </cols>
  <sheetData>
    <row r="1" ht="25.5" customHeight="1">
      <c r="A1" s="291" t="s">
        <v>201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228" t="s">
        <v>202</v>
      </c>
      <c r="B2" s="2"/>
      <c r="C2" s="2"/>
      <c r="D2" s="2"/>
      <c r="E2" s="2"/>
      <c r="F2" s="2"/>
      <c r="G2" s="2"/>
      <c r="H2" s="2"/>
      <c r="I2" s="3"/>
    </row>
    <row r="3" ht="15.0" customHeight="1">
      <c r="A3" s="292" t="s">
        <v>166</v>
      </c>
      <c r="B3" s="293" t="s">
        <v>2</v>
      </c>
      <c r="C3" s="293" t="s">
        <v>3</v>
      </c>
      <c r="D3" s="293" t="s">
        <v>187</v>
      </c>
      <c r="E3" s="294" t="s">
        <v>188</v>
      </c>
      <c r="F3" s="293" t="s">
        <v>189</v>
      </c>
      <c r="G3" s="293" t="s">
        <v>84</v>
      </c>
      <c r="H3" s="293" t="s">
        <v>190</v>
      </c>
      <c r="I3" s="294" t="s">
        <v>191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295">
        <v>46151.0</v>
      </c>
      <c r="B4" s="296" t="s">
        <v>33</v>
      </c>
      <c r="C4" s="297" t="s">
        <v>34</v>
      </c>
      <c r="D4" s="297" t="s">
        <v>192</v>
      </c>
      <c r="E4" s="297"/>
      <c r="F4" s="296" t="s">
        <v>203</v>
      </c>
      <c r="G4" s="298">
        <f t="shared" ref="G4:G5" si="1">IFERROR(IF(AND(ISNUMBER(SEARCH("h",F4)),ISNUMBER(SEARCH("m",F4))),VALUE(LEFT(F4,SEARCH("h",F4)-1))+VALUE(MID(F4,SEARCH("h",F4)+1,SEARCH("m",F4)-SEARCH("h",F4)-1))/60,IF(ISNUMBER(SEARCH("h",F4)),VALUE(LEFT(F4,SEARCH("h",F4)-1)),IF(ISNUMBER(SEARCH("m",F4)),VALUE(LEFT(F4,SEARCH("m",F4)-1))/60,VALUE(F4)))),0)</f>
        <v>1.5</v>
      </c>
      <c r="H4" s="299">
        <f>IF(F4&lt;&gt;"",G4*RATE_HOURLY,"")</f>
        <v>30</v>
      </c>
      <c r="I4" s="297"/>
    </row>
    <row r="5" ht="15.0" customHeight="1">
      <c r="A5" s="300">
        <v>46151.0</v>
      </c>
      <c r="B5" s="238" t="s">
        <v>36</v>
      </c>
      <c r="C5" s="239" t="s">
        <v>37</v>
      </c>
      <c r="D5" s="239" t="s">
        <v>192</v>
      </c>
      <c r="E5" s="239"/>
      <c r="F5" s="238" t="s">
        <v>203</v>
      </c>
      <c r="G5" s="284">
        <f t="shared" si="1"/>
        <v>1.5</v>
      </c>
      <c r="H5" s="259">
        <f>IF(F5&lt;&gt;"",G5*RATE_HOURLY,"")</f>
        <v>30</v>
      </c>
      <c r="I5" s="239"/>
    </row>
    <row r="6" ht="19.5" customHeight="1">
      <c r="A6" s="301" t="s">
        <v>74</v>
      </c>
      <c r="B6" s="8"/>
      <c r="C6" s="8"/>
      <c r="D6" s="8"/>
      <c r="E6" s="244"/>
      <c r="F6" s="302" t="str">
        <f>IF(INT(G6)&gt;0,INT(G6)&amp;"h "&amp;TEXT(ROUND((G6-INT(G6))*60,0),"0")&amp;"m",TEXT(ROUND(G6*60,0),"0")&amp;"m")</f>
        <v>3h 0m</v>
      </c>
      <c r="G6" s="303">
        <f t="shared" ref="G6:H6" si="2">SUM(G4:G5)</f>
        <v>3</v>
      </c>
      <c r="H6" s="304">
        <f t="shared" si="2"/>
        <v>60</v>
      </c>
      <c r="I6" s="305"/>
    </row>
    <row r="7" ht="15.75" customHeight="1">
      <c r="A7" s="187"/>
      <c r="B7" s="5"/>
      <c r="C7" s="5"/>
      <c r="D7" s="5"/>
      <c r="E7" s="5"/>
      <c r="F7" s="5"/>
      <c r="G7" s="5"/>
      <c r="H7" s="5"/>
      <c r="I7" s="5"/>
    </row>
    <row r="8" ht="15.75" customHeight="1">
      <c r="A8" s="187"/>
      <c r="B8" s="5"/>
      <c r="C8" s="5"/>
      <c r="D8" s="5"/>
      <c r="E8" s="5"/>
      <c r="F8" s="5"/>
      <c r="G8" s="5"/>
      <c r="H8" s="5"/>
      <c r="I8" s="5"/>
    </row>
    <row r="9" ht="15.75" customHeight="1">
      <c r="A9" s="187"/>
      <c r="B9" s="5"/>
      <c r="C9" s="5"/>
      <c r="D9" s="5"/>
      <c r="E9" s="5"/>
      <c r="F9" s="5"/>
      <c r="G9" s="5"/>
      <c r="H9" s="5"/>
      <c r="I9" s="5"/>
    </row>
    <row r="10" ht="15.75" customHeight="1">
      <c r="A10" s="187"/>
      <c r="B10" s="5"/>
      <c r="C10" s="5"/>
      <c r="D10" s="5"/>
      <c r="E10" s="5"/>
      <c r="F10" s="5"/>
      <c r="G10" s="5"/>
      <c r="H10" s="5"/>
      <c r="I10" s="5"/>
    </row>
    <row r="11" ht="15.75" customHeight="1">
      <c r="A11" s="187"/>
      <c r="B11" s="5"/>
      <c r="C11" s="5"/>
      <c r="D11" s="5"/>
      <c r="E11" s="5"/>
      <c r="F11" s="5"/>
      <c r="G11" s="5"/>
      <c r="H11" s="5"/>
      <c r="I11" s="5"/>
    </row>
    <row r="12" ht="15.75" customHeight="1">
      <c r="A12" s="187"/>
      <c r="B12" s="5"/>
      <c r="C12" s="5"/>
      <c r="D12" s="5"/>
      <c r="E12" s="5"/>
      <c r="F12" s="5"/>
      <c r="G12" s="5"/>
      <c r="H12" s="5"/>
      <c r="I12" s="5"/>
    </row>
    <row r="13" ht="15.75" customHeight="1">
      <c r="A13" s="187"/>
      <c r="B13" s="5"/>
      <c r="C13" s="5"/>
      <c r="D13" s="5"/>
      <c r="E13" s="5"/>
      <c r="F13" s="5"/>
      <c r="G13" s="5"/>
      <c r="H13" s="5"/>
      <c r="I13" s="5"/>
    </row>
    <row r="14" ht="15.75" customHeight="1">
      <c r="A14" s="187"/>
      <c r="B14" s="5"/>
      <c r="C14" s="5"/>
      <c r="D14" s="5"/>
      <c r="E14" s="5"/>
      <c r="F14" s="5"/>
      <c r="G14" s="5"/>
      <c r="H14" s="5"/>
      <c r="I14" s="5"/>
    </row>
    <row r="15" ht="15.75" customHeight="1">
      <c r="A15" s="187"/>
      <c r="B15" s="5"/>
      <c r="C15" s="5"/>
      <c r="D15" s="5"/>
      <c r="E15" s="5"/>
      <c r="F15" s="5"/>
      <c r="G15" s="5"/>
      <c r="H15" s="5"/>
      <c r="I15" s="5"/>
    </row>
    <row r="16" ht="15.75" customHeight="1">
      <c r="A16" s="187"/>
      <c r="B16" s="5"/>
      <c r="C16" s="5"/>
      <c r="D16" s="5"/>
      <c r="E16" s="5"/>
      <c r="F16" s="5"/>
      <c r="G16" s="5"/>
      <c r="H16" s="5"/>
      <c r="I16" s="5"/>
    </row>
    <row r="17" ht="15.75" customHeight="1">
      <c r="A17" s="187"/>
      <c r="B17" s="5"/>
      <c r="C17" s="5"/>
      <c r="D17" s="5"/>
      <c r="E17" s="5"/>
      <c r="F17" s="5"/>
      <c r="G17" s="5"/>
      <c r="H17" s="5"/>
      <c r="I17" s="5"/>
    </row>
    <row r="18" ht="15.75" customHeight="1">
      <c r="A18" s="187"/>
      <c r="B18" s="5"/>
      <c r="C18" s="5"/>
      <c r="D18" s="5"/>
      <c r="E18" s="5"/>
      <c r="F18" s="5"/>
      <c r="G18" s="5"/>
      <c r="H18" s="5"/>
      <c r="I18" s="5"/>
    </row>
    <row r="19" ht="15.75" customHeight="1">
      <c r="A19" s="187"/>
      <c r="B19" s="5"/>
      <c r="C19" s="5"/>
      <c r="D19" s="5"/>
      <c r="E19" s="5"/>
      <c r="F19" s="5"/>
      <c r="G19" s="5"/>
      <c r="H19" s="5"/>
      <c r="I19" s="5"/>
    </row>
    <row r="20" ht="15.75" customHeight="1">
      <c r="A20" s="187"/>
      <c r="B20" s="5"/>
      <c r="C20" s="5"/>
      <c r="D20" s="5"/>
      <c r="E20" s="5"/>
      <c r="F20" s="5"/>
      <c r="G20" s="5"/>
      <c r="H20" s="5"/>
      <c r="I20" s="5"/>
    </row>
    <row r="21" ht="15.75" customHeight="1">
      <c r="A21" s="187"/>
      <c r="B21" s="5"/>
      <c r="C21" s="5"/>
      <c r="D21" s="5"/>
      <c r="E21" s="5"/>
      <c r="F21" s="5"/>
      <c r="G21" s="5"/>
      <c r="H21" s="5"/>
      <c r="I21" s="5"/>
    </row>
    <row r="22" ht="15.75" customHeight="1">
      <c r="A22" s="187"/>
      <c r="B22" s="5"/>
      <c r="C22" s="5"/>
      <c r="D22" s="5"/>
      <c r="E22" s="5"/>
      <c r="F22" s="5"/>
      <c r="G22" s="5"/>
      <c r="H22" s="5"/>
      <c r="I22" s="5"/>
    </row>
    <row r="23" ht="15.75" customHeight="1">
      <c r="A23" s="187"/>
      <c r="B23" s="5"/>
      <c r="C23" s="5"/>
      <c r="D23" s="5"/>
      <c r="E23" s="5"/>
      <c r="F23" s="5"/>
      <c r="G23" s="5"/>
      <c r="H23" s="5"/>
      <c r="I23" s="5"/>
    </row>
    <row r="24" ht="15.75" customHeight="1">
      <c r="A24" s="187"/>
      <c r="B24" s="5"/>
      <c r="C24" s="5"/>
      <c r="D24" s="5"/>
      <c r="E24" s="5"/>
      <c r="F24" s="5"/>
      <c r="G24" s="5"/>
      <c r="H24" s="5"/>
      <c r="I24" s="5"/>
    </row>
    <row r="25" ht="15.75" customHeight="1">
      <c r="A25" s="187"/>
      <c r="B25" s="5"/>
      <c r="C25" s="5"/>
      <c r="D25" s="5"/>
      <c r="E25" s="5"/>
      <c r="F25" s="5"/>
      <c r="G25" s="5"/>
      <c r="H25" s="5"/>
      <c r="I25" s="5"/>
    </row>
    <row r="26" ht="15.75" customHeight="1">
      <c r="A26" s="187"/>
      <c r="B26" s="5"/>
      <c r="C26" s="5"/>
      <c r="D26" s="5"/>
      <c r="E26" s="5"/>
      <c r="F26" s="5"/>
      <c r="G26" s="5"/>
      <c r="H26" s="5"/>
      <c r="I26" s="5"/>
    </row>
    <row r="27" ht="15.75" customHeight="1">
      <c r="A27" s="187"/>
      <c r="B27" s="5"/>
      <c r="C27" s="5"/>
      <c r="D27" s="5"/>
      <c r="E27" s="5"/>
      <c r="F27" s="5"/>
      <c r="G27" s="5"/>
      <c r="H27" s="5"/>
      <c r="I27" s="5"/>
    </row>
    <row r="28" ht="15.75" customHeight="1">
      <c r="A28" s="187"/>
      <c r="B28" s="5"/>
      <c r="C28" s="5"/>
      <c r="D28" s="5"/>
      <c r="E28" s="5"/>
      <c r="F28" s="5"/>
      <c r="G28" s="5"/>
      <c r="H28" s="5"/>
      <c r="I28" s="5"/>
    </row>
    <row r="29" ht="15.75" customHeight="1">
      <c r="A29" s="187"/>
      <c r="B29" s="5"/>
      <c r="C29" s="5"/>
      <c r="D29" s="5"/>
      <c r="E29" s="5"/>
      <c r="F29" s="5"/>
      <c r="G29" s="5"/>
      <c r="H29" s="5"/>
      <c r="I29" s="5"/>
    </row>
    <row r="30" ht="15.75" customHeight="1">
      <c r="A30" s="187"/>
      <c r="B30" s="5"/>
      <c r="C30" s="5"/>
      <c r="D30" s="5"/>
      <c r="E30" s="5"/>
      <c r="F30" s="5"/>
      <c r="G30" s="5"/>
      <c r="H30" s="5"/>
      <c r="I30" s="5"/>
    </row>
    <row r="31" ht="15.75" customHeight="1">
      <c r="A31" s="187"/>
      <c r="B31" s="5"/>
      <c r="C31" s="5"/>
      <c r="D31" s="5"/>
      <c r="E31" s="5"/>
      <c r="F31" s="5"/>
      <c r="G31" s="5"/>
      <c r="H31" s="5"/>
      <c r="I31" s="5"/>
    </row>
    <row r="32" ht="15.75" customHeight="1">
      <c r="A32" s="187"/>
      <c r="B32" s="5"/>
      <c r="C32" s="5"/>
      <c r="D32" s="5"/>
      <c r="E32" s="5"/>
      <c r="F32" s="5"/>
      <c r="G32" s="5"/>
      <c r="H32" s="5"/>
      <c r="I32" s="5"/>
    </row>
    <row r="33" ht="15.75" customHeight="1">
      <c r="A33" s="187"/>
      <c r="B33" s="5"/>
      <c r="C33" s="5"/>
      <c r="D33" s="5"/>
      <c r="E33" s="5"/>
      <c r="F33" s="5"/>
      <c r="G33" s="5"/>
      <c r="H33" s="5"/>
      <c r="I33" s="5"/>
    </row>
    <row r="34" ht="15.75" customHeight="1">
      <c r="A34" s="187"/>
      <c r="B34" s="5"/>
      <c r="C34" s="5"/>
      <c r="D34" s="5"/>
      <c r="E34" s="5"/>
      <c r="F34" s="5"/>
      <c r="G34" s="5"/>
      <c r="H34" s="5"/>
      <c r="I34" s="5"/>
    </row>
    <row r="35" ht="15.75" customHeight="1">
      <c r="A35" s="187"/>
      <c r="B35" s="5"/>
      <c r="C35" s="5"/>
      <c r="D35" s="5"/>
      <c r="E35" s="5"/>
      <c r="F35" s="5"/>
      <c r="G35" s="5"/>
      <c r="H35" s="5"/>
      <c r="I35" s="5"/>
    </row>
    <row r="36" ht="15.75" customHeight="1">
      <c r="A36" s="187"/>
      <c r="B36" s="5"/>
      <c r="C36" s="5"/>
      <c r="D36" s="5"/>
      <c r="E36" s="5"/>
      <c r="F36" s="5"/>
      <c r="G36" s="5"/>
      <c r="H36" s="5"/>
      <c r="I36" s="5"/>
    </row>
    <row r="37" ht="15.75" customHeight="1">
      <c r="A37" s="187"/>
      <c r="B37" s="5"/>
      <c r="C37" s="5"/>
      <c r="D37" s="5"/>
      <c r="E37" s="5"/>
      <c r="F37" s="5"/>
      <c r="G37" s="5"/>
      <c r="H37" s="5"/>
      <c r="I37" s="5"/>
    </row>
    <row r="38" ht="15.75" customHeight="1">
      <c r="A38" s="187"/>
      <c r="B38" s="5"/>
      <c r="C38" s="5"/>
      <c r="D38" s="5"/>
      <c r="E38" s="5"/>
      <c r="F38" s="5"/>
      <c r="G38" s="5"/>
      <c r="H38" s="5"/>
      <c r="I38" s="5"/>
    </row>
    <row r="39" ht="15.75" customHeight="1">
      <c r="A39" s="187"/>
      <c r="B39" s="5"/>
      <c r="C39" s="5"/>
      <c r="D39" s="5"/>
      <c r="E39" s="5"/>
      <c r="F39" s="5"/>
      <c r="G39" s="5"/>
      <c r="H39" s="5"/>
      <c r="I39" s="5"/>
    </row>
    <row r="40" ht="15.75" customHeight="1">
      <c r="A40" s="187"/>
      <c r="B40" s="5"/>
      <c r="C40" s="5"/>
      <c r="D40" s="5"/>
      <c r="E40" s="5"/>
      <c r="F40" s="5"/>
      <c r="G40" s="5"/>
      <c r="H40" s="5"/>
      <c r="I40" s="5"/>
    </row>
    <row r="41" ht="15.75" customHeight="1">
      <c r="A41" s="187"/>
      <c r="B41" s="5"/>
      <c r="C41" s="5"/>
      <c r="D41" s="5"/>
      <c r="E41" s="5"/>
      <c r="F41" s="5"/>
      <c r="G41" s="5"/>
      <c r="H41" s="5"/>
      <c r="I41" s="5"/>
    </row>
    <row r="42" ht="15.75" customHeight="1">
      <c r="A42" s="187"/>
      <c r="B42" s="5"/>
      <c r="C42" s="5"/>
      <c r="D42" s="5"/>
      <c r="E42" s="5"/>
      <c r="F42" s="5"/>
      <c r="G42" s="5"/>
      <c r="H42" s="5"/>
      <c r="I42" s="5"/>
    </row>
    <row r="43" ht="15.75" customHeight="1">
      <c r="A43" s="187"/>
      <c r="B43" s="5"/>
      <c r="C43" s="5"/>
      <c r="D43" s="5"/>
      <c r="E43" s="5"/>
      <c r="F43" s="5"/>
      <c r="G43" s="5"/>
      <c r="H43" s="5"/>
      <c r="I43" s="5"/>
    </row>
    <row r="44" ht="15.75" customHeight="1">
      <c r="A44" s="187"/>
      <c r="B44" s="5"/>
      <c r="C44" s="5"/>
      <c r="D44" s="5"/>
      <c r="E44" s="5"/>
      <c r="F44" s="5"/>
      <c r="G44" s="5"/>
      <c r="H44" s="5"/>
      <c r="I44" s="5"/>
    </row>
    <row r="45" ht="15.75" customHeight="1">
      <c r="A45" s="187"/>
      <c r="B45" s="5"/>
      <c r="C45" s="5"/>
      <c r="D45" s="5"/>
      <c r="E45" s="5"/>
      <c r="F45" s="5"/>
      <c r="G45" s="5"/>
      <c r="H45" s="5"/>
      <c r="I45" s="5"/>
    </row>
    <row r="46" ht="15.75" customHeight="1">
      <c r="A46" s="187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187"/>
      <c r="B47" s="5"/>
      <c r="C47" s="5"/>
      <c r="D47" s="5"/>
      <c r="E47" s="5"/>
      <c r="F47" s="5"/>
      <c r="G47" s="5"/>
      <c r="H47" s="5"/>
      <c r="I47" s="5"/>
    </row>
    <row r="48" ht="15.75" customHeight="1">
      <c r="A48" s="187"/>
      <c r="B48" s="5"/>
      <c r="C48" s="5"/>
      <c r="D48" s="5"/>
      <c r="E48" s="5"/>
      <c r="F48" s="5"/>
      <c r="G48" s="5"/>
      <c r="H48" s="5"/>
      <c r="I48" s="5"/>
    </row>
    <row r="49" ht="15.75" customHeight="1">
      <c r="A49" s="187"/>
      <c r="B49" s="5"/>
      <c r="C49" s="5"/>
      <c r="D49" s="5"/>
      <c r="E49" s="5"/>
      <c r="F49" s="5"/>
      <c r="G49" s="5"/>
      <c r="H49" s="5"/>
      <c r="I49" s="5"/>
    </row>
    <row r="50" ht="15.75" customHeight="1">
      <c r="A50" s="187"/>
      <c r="B50" s="5"/>
      <c r="C50" s="5"/>
      <c r="D50" s="5"/>
      <c r="E50" s="5"/>
      <c r="F50" s="5"/>
      <c r="G50" s="5"/>
      <c r="H50" s="5"/>
      <c r="I50" s="5"/>
    </row>
    <row r="51" ht="15.75" customHeight="1">
      <c r="A51" s="187"/>
      <c r="B51" s="5"/>
      <c r="C51" s="5"/>
      <c r="D51" s="5"/>
      <c r="E51" s="5"/>
      <c r="F51" s="5"/>
      <c r="G51" s="5"/>
      <c r="H51" s="5"/>
      <c r="I51" s="5"/>
    </row>
    <row r="52" ht="15.75" customHeight="1">
      <c r="A52" s="187"/>
      <c r="B52" s="5"/>
      <c r="C52" s="5"/>
      <c r="D52" s="5"/>
      <c r="E52" s="5"/>
      <c r="F52" s="5"/>
      <c r="G52" s="5"/>
      <c r="H52" s="5"/>
      <c r="I52" s="5"/>
    </row>
    <row r="53" ht="15.75" customHeight="1">
      <c r="A53" s="187"/>
      <c r="B53" s="5"/>
      <c r="C53" s="5"/>
      <c r="D53" s="5"/>
      <c r="E53" s="5"/>
      <c r="F53" s="5"/>
      <c r="G53" s="5"/>
      <c r="H53" s="5"/>
      <c r="I53" s="5"/>
    </row>
    <row r="54" ht="15.75" customHeight="1">
      <c r="A54" s="187"/>
      <c r="B54" s="5"/>
      <c r="C54" s="5"/>
      <c r="D54" s="5"/>
      <c r="E54" s="5"/>
      <c r="F54" s="5"/>
      <c r="G54" s="5"/>
      <c r="H54" s="5"/>
      <c r="I54" s="5"/>
    </row>
    <row r="55" ht="15.75" customHeight="1">
      <c r="A55" s="187"/>
      <c r="B55" s="5"/>
      <c r="C55" s="5"/>
      <c r="D55" s="5"/>
      <c r="E55" s="5"/>
      <c r="F55" s="5"/>
      <c r="G55" s="5"/>
      <c r="H55" s="5"/>
      <c r="I55" s="5"/>
    </row>
    <row r="56" ht="15.75" customHeight="1">
      <c r="A56" s="187"/>
      <c r="B56" s="5"/>
      <c r="C56" s="5"/>
      <c r="D56" s="5"/>
      <c r="E56" s="5"/>
      <c r="F56" s="5"/>
      <c r="G56" s="5"/>
      <c r="H56" s="5"/>
      <c r="I56" s="5"/>
    </row>
    <row r="57" ht="15.75" customHeight="1">
      <c r="A57" s="187"/>
      <c r="B57" s="5"/>
      <c r="C57" s="5"/>
      <c r="D57" s="5"/>
      <c r="E57" s="5"/>
      <c r="F57" s="5"/>
      <c r="G57" s="5"/>
      <c r="H57" s="5"/>
      <c r="I57" s="5"/>
    </row>
    <row r="58" ht="15.75" customHeight="1">
      <c r="A58" s="187"/>
      <c r="B58" s="5"/>
      <c r="C58" s="5"/>
      <c r="D58" s="5"/>
      <c r="E58" s="5"/>
      <c r="F58" s="5"/>
      <c r="G58" s="5"/>
      <c r="H58" s="5"/>
      <c r="I58" s="5"/>
    </row>
    <row r="59" ht="15.75" customHeight="1">
      <c r="A59" s="187"/>
      <c r="B59" s="5"/>
      <c r="C59" s="5"/>
      <c r="D59" s="5"/>
      <c r="E59" s="5"/>
      <c r="F59" s="5"/>
      <c r="G59" s="5"/>
      <c r="H59" s="5"/>
      <c r="I59" s="5"/>
    </row>
    <row r="60" ht="15.75" customHeight="1">
      <c r="A60" s="187"/>
      <c r="B60" s="5"/>
      <c r="C60" s="5"/>
      <c r="D60" s="5"/>
      <c r="E60" s="5"/>
      <c r="F60" s="5"/>
      <c r="G60" s="5"/>
      <c r="H60" s="5"/>
      <c r="I60" s="5"/>
    </row>
    <row r="61" ht="15.75" customHeight="1">
      <c r="A61" s="187"/>
      <c r="B61" s="5"/>
      <c r="C61" s="5"/>
      <c r="D61" s="5"/>
      <c r="E61" s="5"/>
      <c r="F61" s="5"/>
      <c r="G61" s="5"/>
      <c r="H61" s="5"/>
      <c r="I61" s="5"/>
    </row>
    <row r="62" ht="15.75" customHeight="1">
      <c r="A62" s="187"/>
      <c r="B62" s="5"/>
      <c r="C62" s="5"/>
      <c r="D62" s="5"/>
      <c r="E62" s="5"/>
      <c r="F62" s="5"/>
      <c r="G62" s="5"/>
      <c r="H62" s="5"/>
      <c r="I62" s="5"/>
    </row>
    <row r="63" ht="15.75" customHeight="1">
      <c r="A63" s="187"/>
      <c r="B63" s="5"/>
      <c r="C63" s="5"/>
      <c r="D63" s="5"/>
      <c r="E63" s="5"/>
      <c r="F63" s="5"/>
      <c r="G63" s="5"/>
      <c r="H63" s="5"/>
      <c r="I63" s="5"/>
    </row>
    <row r="64" ht="15.75" customHeight="1">
      <c r="A64" s="187"/>
      <c r="B64" s="5"/>
      <c r="C64" s="5"/>
      <c r="D64" s="5"/>
      <c r="E64" s="5"/>
      <c r="F64" s="5"/>
      <c r="G64" s="5"/>
      <c r="H64" s="5"/>
      <c r="I64" s="5"/>
    </row>
    <row r="65" ht="15.75" customHeight="1">
      <c r="A65" s="187"/>
      <c r="B65" s="5"/>
      <c r="C65" s="5"/>
      <c r="D65" s="5"/>
      <c r="E65" s="5"/>
      <c r="F65" s="5"/>
      <c r="G65" s="5"/>
      <c r="H65" s="5"/>
      <c r="I65" s="5"/>
    </row>
    <row r="66" ht="15.75" customHeight="1">
      <c r="A66" s="187"/>
      <c r="B66" s="5"/>
      <c r="C66" s="5"/>
      <c r="D66" s="5"/>
      <c r="E66" s="5"/>
      <c r="F66" s="5"/>
      <c r="G66" s="5"/>
      <c r="H66" s="5"/>
      <c r="I66" s="5"/>
    </row>
    <row r="67" ht="15.75" customHeight="1">
      <c r="A67" s="187"/>
      <c r="B67" s="5"/>
      <c r="C67" s="5"/>
      <c r="D67" s="5"/>
      <c r="E67" s="5"/>
      <c r="F67" s="5"/>
      <c r="G67" s="5"/>
      <c r="H67" s="5"/>
      <c r="I67" s="5"/>
    </row>
    <row r="68" ht="15.75" customHeight="1">
      <c r="A68" s="187"/>
      <c r="B68" s="5"/>
      <c r="C68" s="5"/>
      <c r="D68" s="5"/>
      <c r="E68" s="5"/>
      <c r="F68" s="5"/>
      <c r="G68" s="5"/>
      <c r="H68" s="5"/>
      <c r="I68" s="5"/>
    </row>
    <row r="69" ht="15.75" customHeight="1">
      <c r="A69" s="187"/>
      <c r="B69" s="5"/>
      <c r="C69" s="5"/>
      <c r="D69" s="5"/>
      <c r="E69" s="5"/>
      <c r="F69" s="5"/>
      <c r="G69" s="5"/>
      <c r="H69" s="5"/>
      <c r="I69" s="5"/>
    </row>
    <row r="70" ht="15.75" customHeight="1">
      <c r="A70" s="187"/>
      <c r="B70" s="5"/>
      <c r="C70" s="5"/>
      <c r="D70" s="5"/>
      <c r="E70" s="5"/>
      <c r="F70" s="5"/>
      <c r="G70" s="5"/>
      <c r="H70" s="5"/>
      <c r="I70" s="5"/>
    </row>
    <row r="71" ht="15.75" customHeight="1">
      <c r="A71" s="187"/>
      <c r="B71" s="5"/>
      <c r="C71" s="5"/>
      <c r="D71" s="5"/>
      <c r="E71" s="5"/>
      <c r="F71" s="5"/>
      <c r="G71" s="5"/>
      <c r="H71" s="5"/>
      <c r="I71" s="5"/>
    </row>
    <row r="72" ht="15.75" customHeight="1">
      <c r="A72" s="187"/>
      <c r="B72" s="5"/>
      <c r="C72" s="5"/>
      <c r="D72" s="5"/>
      <c r="E72" s="5"/>
      <c r="F72" s="5"/>
      <c r="G72" s="5"/>
      <c r="H72" s="5"/>
      <c r="I72" s="5"/>
    </row>
    <row r="73" ht="15.75" customHeight="1">
      <c r="A73" s="187"/>
      <c r="B73" s="5"/>
      <c r="C73" s="5"/>
      <c r="D73" s="5"/>
      <c r="E73" s="5"/>
      <c r="F73" s="5"/>
      <c r="G73" s="5"/>
      <c r="H73" s="5"/>
      <c r="I73" s="5"/>
    </row>
    <row r="74" ht="15.75" customHeight="1">
      <c r="A74" s="187"/>
      <c r="B74" s="5"/>
      <c r="C74" s="5"/>
      <c r="D74" s="5"/>
      <c r="E74" s="5"/>
      <c r="F74" s="5"/>
      <c r="G74" s="5"/>
      <c r="H74" s="5"/>
      <c r="I74" s="5"/>
    </row>
    <row r="75" ht="15.75" customHeight="1">
      <c r="A75" s="187"/>
      <c r="B75" s="5"/>
      <c r="C75" s="5"/>
      <c r="D75" s="5"/>
      <c r="E75" s="5"/>
      <c r="F75" s="5"/>
      <c r="G75" s="5"/>
      <c r="H75" s="5"/>
      <c r="I75" s="5"/>
    </row>
    <row r="76" ht="15.75" customHeight="1">
      <c r="A76" s="187"/>
      <c r="B76" s="5"/>
      <c r="C76" s="5"/>
      <c r="D76" s="5"/>
      <c r="E76" s="5"/>
      <c r="F76" s="5"/>
      <c r="G76" s="5"/>
      <c r="H76" s="5"/>
      <c r="I76" s="5"/>
    </row>
    <row r="77" ht="15.75" customHeight="1">
      <c r="A77" s="187"/>
      <c r="B77" s="5"/>
      <c r="C77" s="5"/>
      <c r="D77" s="5"/>
      <c r="E77" s="5"/>
      <c r="F77" s="5"/>
      <c r="G77" s="5"/>
      <c r="H77" s="5"/>
      <c r="I77" s="5"/>
    </row>
    <row r="78" ht="15.75" customHeight="1">
      <c r="A78" s="187"/>
      <c r="B78" s="5"/>
      <c r="C78" s="5"/>
      <c r="D78" s="5"/>
      <c r="E78" s="5"/>
      <c r="F78" s="5"/>
      <c r="G78" s="5"/>
      <c r="H78" s="5"/>
      <c r="I78" s="5"/>
    </row>
    <row r="79" ht="15.75" customHeight="1">
      <c r="A79" s="187"/>
      <c r="B79" s="5"/>
      <c r="C79" s="5"/>
      <c r="D79" s="5"/>
      <c r="E79" s="5"/>
      <c r="F79" s="5"/>
      <c r="G79" s="5"/>
      <c r="H79" s="5"/>
      <c r="I79" s="5"/>
    </row>
    <row r="80" ht="15.75" customHeight="1">
      <c r="A80" s="187"/>
      <c r="B80" s="5"/>
      <c r="C80" s="5"/>
      <c r="D80" s="5"/>
      <c r="E80" s="5"/>
      <c r="F80" s="5"/>
      <c r="G80" s="5"/>
      <c r="H80" s="5"/>
      <c r="I80" s="5"/>
    </row>
    <row r="81" ht="15.75" customHeight="1">
      <c r="A81" s="187"/>
      <c r="B81" s="5"/>
      <c r="C81" s="5"/>
      <c r="D81" s="5"/>
      <c r="E81" s="5"/>
      <c r="F81" s="5"/>
      <c r="G81" s="5"/>
      <c r="H81" s="5"/>
      <c r="I81" s="5"/>
    </row>
    <row r="82" ht="15.75" customHeight="1">
      <c r="A82" s="187"/>
      <c r="B82" s="5"/>
      <c r="C82" s="5"/>
      <c r="D82" s="5"/>
      <c r="E82" s="5"/>
      <c r="F82" s="5"/>
      <c r="G82" s="5"/>
      <c r="H82" s="5"/>
      <c r="I82" s="5"/>
    </row>
    <row r="83" ht="15.75" customHeight="1">
      <c r="A83" s="187"/>
      <c r="B83" s="5"/>
      <c r="C83" s="5"/>
      <c r="D83" s="5"/>
      <c r="E83" s="5"/>
      <c r="F83" s="5"/>
      <c r="G83" s="5"/>
      <c r="H83" s="5"/>
      <c r="I83" s="5"/>
    </row>
    <row r="84" ht="15.75" customHeight="1">
      <c r="A84" s="187"/>
      <c r="B84" s="5"/>
      <c r="C84" s="5"/>
      <c r="D84" s="5"/>
      <c r="E84" s="5"/>
      <c r="F84" s="5"/>
      <c r="G84" s="5"/>
      <c r="H84" s="5"/>
      <c r="I84" s="5"/>
    </row>
    <row r="85" ht="15.75" customHeight="1">
      <c r="A85" s="187"/>
      <c r="B85" s="5"/>
      <c r="C85" s="5"/>
      <c r="D85" s="5"/>
      <c r="E85" s="5"/>
      <c r="F85" s="5"/>
      <c r="G85" s="5"/>
      <c r="H85" s="5"/>
      <c r="I85" s="5"/>
    </row>
    <row r="86" ht="15.75" customHeight="1">
      <c r="A86" s="187"/>
      <c r="B86" s="5"/>
      <c r="C86" s="5"/>
      <c r="D86" s="5"/>
      <c r="E86" s="5"/>
      <c r="F86" s="5"/>
      <c r="G86" s="5"/>
      <c r="H86" s="5"/>
      <c r="I86" s="5"/>
    </row>
    <row r="87" ht="15.75" customHeight="1">
      <c r="A87" s="187"/>
      <c r="B87" s="5"/>
      <c r="C87" s="5"/>
      <c r="D87" s="5"/>
      <c r="E87" s="5"/>
      <c r="F87" s="5"/>
      <c r="G87" s="5"/>
      <c r="H87" s="5"/>
      <c r="I87" s="5"/>
    </row>
    <row r="88" ht="15.75" customHeight="1">
      <c r="A88" s="187"/>
      <c r="B88" s="5"/>
      <c r="C88" s="5"/>
      <c r="D88" s="5"/>
      <c r="E88" s="5"/>
      <c r="F88" s="5"/>
      <c r="G88" s="5"/>
      <c r="H88" s="5"/>
      <c r="I88" s="5"/>
    </row>
    <row r="89" ht="15.75" customHeight="1">
      <c r="A89" s="187"/>
      <c r="B89" s="5"/>
      <c r="C89" s="5"/>
      <c r="D89" s="5"/>
      <c r="E89" s="5"/>
      <c r="F89" s="5"/>
      <c r="G89" s="5"/>
      <c r="H89" s="5"/>
      <c r="I89" s="5"/>
    </row>
    <row r="90" ht="15.75" customHeight="1">
      <c r="A90" s="187"/>
      <c r="B90" s="5"/>
      <c r="C90" s="5"/>
      <c r="D90" s="5"/>
      <c r="E90" s="5"/>
      <c r="F90" s="5"/>
      <c r="G90" s="5"/>
      <c r="H90" s="5"/>
      <c r="I90" s="5"/>
    </row>
    <row r="91" ht="15.75" customHeight="1">
      <c r="A91" s="187"/>
      <c r="B91" s="5"/>
      <c r="C91" s="5"/>
      <c r="D91" s="5"/>
      <c r="E91" s="5"/>
      <c r="F91" s="5"/>
      <c r="G91" s="5"/>
      <c r="H91" s="5"/>
      <c r="I91" s="5"/>
    </row>
    <row r="92" ht="15.75" customHeight="1">
      <c r="A92" s="187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187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187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187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187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187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187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187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187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187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187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187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187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187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187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187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187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187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187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187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187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187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187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187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187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187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187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187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187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187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187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187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187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187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187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187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187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187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187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187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187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187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187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187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187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187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187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187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187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187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187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187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187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187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187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187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187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187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187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187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187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187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187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187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187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187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187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187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187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187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187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187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187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187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187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187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187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187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187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187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187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187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187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187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187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187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187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187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187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187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187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187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187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187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187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187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187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187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187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187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187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187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187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187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187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187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187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187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187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187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187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187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187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187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187"/>
      <c r="B206" s="5"/>
      <c r="C206" s="5"/>
      <c r="D206" s="5"/>
      <c r="E206" s="5"/>
      <c r="F206" s="5"/>
      <c r="G206" s="5"/>
      <c r="H206" s="5"/>
      <c r="I206" s="5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</sheetData>
  <mergeCells count="3">
    <mergeCell ref="A1:I1"/>
    <mergeCell ref="A2:I2"/>
    <mergeCell ref="A6:E6"/>
  </mergeCells>
  <dataValidations>
    <dataValidation type="custom" allowBlank="1" showDropDown="1" showInputMessage="1" showErrorMessage="1" prompt="Enter a valid date" sqref="A4:A5">
      <formula1>OR(NOT(ISERROR(DATEVALUE(A4))), AND(ISNUMBER(A4), LEFT(CELL("format", A4))="D"))</formula1>
    </dataValidation>
    <dataValidation type="list" allowBlank="1" sqref="D4:D5">
      <formula1>"Meeting,Project Planning,Coordination,Progress Monitoring,Stakeholder Communication,QA Sign-off,Delivery Preparation,Lessons Learned,Risk Management,Other"</formula1>
    </dataValidation>
    <dataValidation type="list" allowBlank="1" showErrorMessage="1" sqref="B4:B5">
      <formula1>"Team Member 7,Team Member 8"</formula1>
    </dataValidation>
    <dataValidation type="list" allowBlank="1" showErrorMessage="1" sqref="C4:C5">
      <formula1>"Project Manager - Lead,Project Manager"</formula1>
    </dataValidation>
  </dataValidations>
  <printOptions/>
  <pageMargins bottom="1.0" footer="0.0" header="0.0" left="0.75" right="0.75" top="1.0"/>
  <pageSetup paperSize="9" orientation="portrait"/>
  <drawing r:id="rId1"/>
</worksheet>
</file>